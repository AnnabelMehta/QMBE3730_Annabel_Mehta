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belmehta/Downloads/"/>
    </mc:Choice>
  </mc:AlternateContent>
  <xr:revisionPtr revIDLastSave="0" documentId="13_ncr:1_{15421147-1F54-C241-BE38-59A43F3898F8}" xr6:coauthVersionLast="47" xr6:coauthVersionMax="47" xr10:uidLastSave="{00000000-0000-0000-0000-000000000000}"/>
  <bookViews>
    <workbookView xWindow="0" yWindow="760" windowWidth="34200" windowHeight="21380" xr2:uid="{D8031B7E-A8A6-4544-91D0-FD91EEBEFC85}"/>
  </bookViews>
  <sheets>
    <sheet name="Sales Data" sheetId="1" r:id="rId1"/>
  </sheets>
  <definedNames>
    <definedName name="solver_adj" localSheetId="0" hidden="1">'Sales Data'!$W$2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'Sales Data'!$W$2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'Sales Data'!$U$31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1" i="1" l="1"/>
  <c r="U31" i="1"/>
  <c r="T31" i="1"/>
  <c r="Q31" i="1"/>
  <c r="P31" i="1"/>
  <c r="O31" i="1"/>
  <c r="L31" i="1"/>
  <c r="K31" i="1"/>
  <c r="J31" i="1"/>
  <c r="G31" i="1"/>
  <c r="F31" i="1"/>
  <c r="E3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2" i="1"/>
  <c r="T2" i="1" a="1"/>
  <c r="T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2" i="1"/>
  <c r="R4" i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2" i="1"/>
  <c r="L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2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G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D3" i="1"/>
  <c r="F3" i="1" s="1"/>
  <c r="D2" i="1"/>
  <c r="F2" i="1" s="1"/>
  <c r="C4" i="1"/>
  <c r="D4" i="1" s="1"/>
  <c r="E4" i="1" s="1"/>
  <c r="C5" i="1"/>
  <c r="D5" i="1" s="1"/>
  <c r="E5" i="1" s="1"/>
  <c r="C6" i="1"/>
  <c r="D6" i="1" s="1"/>
  <c r="G6" i="1" s="1"/>
  <c r="C7" i="1"/>
  <c r="D7" i="1" s="1"/>
  <c r="G7" i="1" s="1"/>
  <c r="C8" i="1"/>
  <c r="D8" i="1" s="1"/>
  <c r="G8" i="1" s="1"/>
  <c r="C9" i="1"/>
  <c r="D9" i="1" s="1"/>
  <c r="G9" i="1" s="1"/>
  <c r="C10" i="1"/>
  <c r="D10" i="1" s="1"/>
  <c r="G10" i="1" s="1"/>
  <c r="C11" i="1"/>
  <c r="D11" i="1" s="1"/>
  <c r="G11" i="1" s="1"/>
  <c r="C12" i="1"/>
  <c r="D12" i="1" s="1"/>
  <c r="E12" i="1" s="1"/>
  <c r="C13" i="1"/>
  <c r="D13" i="1" s="1"/>
  <c r="E13" i="1" s="1"/>
  <c r="C14" i="1"/>
  <c r="D14" i="1" s="1"/>
  <c r="G14" i="1" s="1"/>
  <c r="C15" i="1"/>
  <c r="D15" i="1" s="1"/>
  <c r="E15" i="1" s="1"/>
  <c r="C16" i="1"/>
  <c r="D16" i="1" s="1"/>
  <c r="G16" i="1" s="1"/>
  <c r="C17" i="1"/>
  <c r="D17" i="1" s="1"/>
  <c r="G17" i="1" s="1"/>
  <c r="C18" i="1"/>
  <c r="D18" i="1" s="1"/>
  <c r="G18" i="1" s="1"/>
  <c r="C19" i="1"/>
  <c r="D19" i="1" s="1"/>
  <c r="G19" i="1" s="1"/>
  <c r="C20" i="1"/>
  <c r="D20" i="1" s="1"/>
  <c r="E20" i="1" s="1"/>
  <c r="C21" i="1"/>
  <c r="D21" i="1" s="1"/>
  <c r="E21" i="1" s="1"/>
  <c r="C22" i="1"/>
  <c r="D22" i="1" s="1"/>
  <c r="G22" i="1" s="1"/>
  <c r="C23" i="1"/>
  <c r="D23" i="1" s="1"/>
  <c r="G23" i="1" s="1"/>
  <c r="C24" i="1"/>
  <c r="D24" i="1" s="1"/>
  <c r="G24" i="1" s="1"/>
  <c r="C25" i="1"/>
  <c r="D25" i="1" s="1"/>
  <c r="G25" i="1" s="1"/>
  <c r="C26" i="1"/>
  <c r="D26" i="1" s="1"/>
  <c r="G26" i="1" s="1"/>
  <c r="C27" i="1"/>
  <c r="D27" i="1" s="1"/>
  <c r="G27" i="1" s="1"/>
  <c r="C28" i="1"/>
  <c r="D28" i="1" s="1"/>
  <c r="E28" i="1" s="1"/>
  <c r="C29" i="1"/>
  <c r="D29" i="1" s="1"/>
  <c r="F29" i="1" s="1"/>
  <c r="C30" i="1"/>
  <c r="D30" i="1" s="1"/>
  <c r="G30" i="1" s="1"/>
  <c r="G15" i="1" l="1"/>
  <c r="G29" i="1"/>
  <c r="G21" i="1"/>
  <c r="G13" i="1"/>
  <c r="G5" i="1"/>
  <c r="G28" i="1"/>
  <c r="G20" i="1"/>
  <c r="G12" i="1"/>
  <c r="G4" i="1"/>
  <c r="G3" i="1"/>
  <c r="E7" i="1"/>
  <c r="F7" i="1"/>
  <c r="F23" i="1"/>
  <c r="E23" i="1"/>
  <c r="E30" i="1"/>
  <c r="F30" i="1"/>
  <c r="E22" i="1"/>
  <c r="F22" i="1"/>
  <c r="E14" i="1"/>
  <c r="F14" i="1"/>
  <c r="E6" i="1"/>
  <c r="F6" i="1"/>
  <c r="E2" i="1"/>
  <c r="F15" i="1"/>
  <c r="F27" i="1"/>
  <c r="E27" i="1"/>
  <c r="E18" i="1"/>
  <c r="F18" i="1"/>
  <c r="F25" i="1"/>
  <c r="E25" i="1"/>
  <c r="F17" i="1"/>
  <c r="E17" i="1"/>
  <c r="F9" i="1"/>
  <c r="E9" i="1"/>
  <c r="F26" i="1"/>
  <c r="E26" i="1"/>
  <c r="E16" i="1"/>
  <c r="F16" i="1"/>
  <c r="E8" i="1"/>
  <c r="F8" i="1"/>
  <c r="F19" i="1"/>
  <c r="E19" i="1"/>
  <c r="F11" i="1"/>
  <c r="E11" i="1"/>
  <c r="F10" i="1"/>
  <c r="E10" i="1"/>
  <c r="F24" i="1"/>
  <c r="E24" i="1"/>
  <c r="F21" i="1"/>
  <c r="F5" i="1"/>
  <c r="F12" i="1"/>
  <c r="E3" i="1"/>
  <c r="F13" i="1"/>
  <c r="F4" i="1"/>
  <c r="E29" i="1"/>
  <c r="F28" i="1"/>
  <c r="F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<sst xmlns="http://schemas.openxmlformats.org/spreadsheetml/2006/main" count="34" uniqueCount="18">
  <si>
    <t>Week</t>
  </si>
  <si>
    <t>Sales</t>
  </si>
  <si>
    <t>MA 3</t>
  </si>
  <si>
    <t>Error</t>
  </si>
  <si>
    <t xml:space="preserve">Absolute error </t>
  </si>
  <si>
    <t xml:space="preserve">Squared error </t>
  </si>
  <si>
    <t xml:space="preserve">Absolute % Error </t>
  </si>
  <si>
    <t xml:space="preserve">MA 4 </t>
  </si>
  <si>
    <t xml:space="preserve">ES (a = 0.5) </t>
  </si>
  <si>
    <t>MA 5</t>
  </si>
  <si>
    <t>Absolute error</t>
  </si>
  <si>
    <t>Squared error</t>
  </si>
  <si>
    <t>Absolute % error</t>
  </si>
  <si>
    <t>MAPE</t>
  </si>
  <si>
    <t>MAE</t>
  </si>
  <si>
    <t>MSE</t>
  </si>
  <si>
    <t>Squared Error</t>
  </si>
  <si>
    <t>Absolute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</si>
</sst>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228600</xdr:colOff>
      <xdr:row>33</xdr:row>
      <xdr:rowOff>76200</xdr:rowOff>
    </xdr:from>
    <xdr:ext cx="591072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AACE3B-5BBB-EFEB-039B-FB371156738F}"/>
            </a:ext>
          </a:extLst>
        </xdr:cNvPr>
        <xdr:cNvSpPr txBox="1"/>
      </xdr:nvSpPr>
      <xdr:spPr>
        <a:xfrm>
          <a:off x="1574800" y="6731000"/>
          <a:ext cx="5910721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The</a:t>
          </a:r>
          <a:r>
            <a:rPr lang="en-US" sz="1100" baseline="0"/>
            <a:t> o</a:t>
          </a:r>
          <a:r>
            <a:rPr lang="en-US" sz="1100"/>
            <a:t>ptimal alpha</a:t>
          </a:r>
          <a:r>
            <a:rPr lang="en-US" sz="1100" baseline="0"/>
            <a:t> value determined using the solver tool was </a:t>
          </a:r>
          <a:r>
            <a:rPr lang="el-GR" sz="1100"/>
            <a:t>α = 0.41</a:t>
          </a:r>
          <a:r>
            <a:rPr lang="en-US" sz="1100" baseline="0"/>
            <a:t> and the </a:t>
          </a:r>
          <a:r>
            <a:rPr lang="en-US" sz="1100"/>
            <a:t>Minimum MSE = 7.92</a:t>
          </a:r>
        </a:p>
      </xdr:txBody>
    </xdr:sp>
    <xdr:clientData/>
  </xdr:oneCellAnchor>
  <xdr:oneCellAnchor>
    <xdr:from>
      <xdr:col>2</xdr:col>
      <xdr:colOff>368300</xdr:colOff>
      <xdr:row>38</xdr:row>
      <xdr:rowOff>114300</xdr:rowOff>
    </xdr:from>
    <xdr:ext cx="10300127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E007B6-45FC-0552-ED54-87BDDCD3DA7B}"/>
            </a:ext>
          </a:extLst>
        </xdr:cNvPr>
        <xdr:cNvSpPr txBox="1"/>
      </xdr:nvSpPr>
      <xdr:spPr>
        <a:xfrm>
          <a:off x="1714500" y="7721600"/>
          <a:ext cx="10300127" cy="43678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Comparing</a:t>
          </a:r>
          <a:r>
            <a:rPr lang="en-US" sz="1100" baseline="0"/>
            <a:t> all of the MAE, MSE, and MAPE calculations the 3 week moving average performed the best because it had he lowest average errors than the rest of the predictions. </a:t>
          </a:r>
        </a:p>
        <a:p>
          <a:r>
            <a:rPr lang="en-US" sz="1100" baseline="0"/>
            <a:t>This indicates model accuracy and reliability. 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E4D1-A3B9-4F1F-873A-20E8F4C2A5A2}">
  <dimension ref="A1:V32"/>
  <sheetViews>
    <sheetView tabSelected="1" workbookViewId="0">
      <selection activeCell="G43" sqref="G43"/>
    </sheetView>
  </sheetViews>
  <sheetFormatPr baseColWidth="10" defaultColWidth="8.83203125" defaultRowHeight="15" x14ac:dyDescent="0.2"/>
  <cols>
    <col min="5" max="5" width="13.5" customWidth="1"/>
    <col min="6" max="6" width="11.83203125" customWidth="1"/>
    <col min="7" max="7" width="14.5" customWidth="1"/>
    <col min="10" max="10" width="13" customWidth="1"/>
    <col min="11" max="11" width="11.83203125" bestFit="1" customWidth="1"/>
    <col min="12" max="12" width="13.6640625" customWidth="1"/>
    <col min="13" max="13" width="11" customWidth="1"/>
    <col min="14" max="14" width="6.1640625" customWidth="1"/>
    <col min="15" max="16" width="13.6640625" customWidth="1"/>
    <col min="17" max="17" width="13.83203125" customWidth="1"/>
    <col min="20" max="20" width="12.5" customWidth="1"/>
    <col min="21" max="21" width="13.33203125" customWidth="1"/>
    <col min="22" max="22" width="15" customWidth="1"/>
    <col min="23" max="23" width="10" customWidth="1"/>
  </cols>
  <sheetData>
    <row r="1" spans="1:22" x14ac:dyDescent="0.2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5" t="s">
        <v>3</v>
      </c>
      <c r="J1" s="5" t="s">
        <v>4</v>
      </c>
      <c r="K1" s="5" t="s">
        <v>5</v>
      </c>
      <c r="L1" s="5" t="s">
        <v>6</v>
      </c>
      <c r="M1" s="4" t="s">
        <v>9</v>
      </c>
      <c r="N1" s="5" t="s">
        <v>3</v>
      </c>
      <c r="O1" s="5" t="s">
        <v>10</v>
      </c>
      <c r="P1" s="5" t="s">
        <v>11</v>
      </c>
      <c r="Q1" s="5" t="s">
        <v>12</v>
      </c>
      <c r="R1" s="4" t="s">
        <v>8</v>
      </c>
      <c r="S1" s="5" t="s">
        <v>3</v>
      </c>
      <c r="T1" s="5" t="s">
        <v>17</v>
      </c>
      <c r="U1" s="5" t="s">
        <v>16</v>
      </c>
      <c r="V1" s="5" t="s">
        <v>12</v>
      </c>
    </row>
    <row r="2" spans="1:22" ht="16" x14ac:dyDescent="0.2">
      <c r="A2" s="2">
        <v>1</v>
      </c>
      <c r="B2" s="2">
        <v>17</v>
      </c>
      <c r="C2" s="4" t="e">
        <v>#N/A</v>
      </c>
      <c r="D2" s="5" t="e">
        <f>B2-C2</f>
        <v>#N/A</v>
      </c>
      <c r="E2" s="5" t="e">
        <f>ABS(D2)</f>
        <v>#N/A</v>
      </c>
      <c r="F2" s="5" t="e">
        <f>D2^2</f>
        <v>#N/A</v>
      </c>
      <c r="G2" s="5" t="e">
        <f>(ABS(D2/B2))*100</f>
        <v>#N/A</v>
      </c>
      <c r="H2" s="4" t="e">
        <v>#N/A</v>
      </c>
      <c r="I2" s="5" t="e">
        <f>B2-H2</f>
        <v>#N/A</v>
      </c>
      <c r="J2" s="5" t="e">
        <f>ABS(I2)</f>
        <v>#N/A</v>
      </c>
      <c r="K2" s="5" t="e">
        <f>I2^2</f>
        <v>#N/A</v>
      </c>
      <c r="L2" s="5" t="e">
        <f>(ABS(I2/B2))*100</f>
        <v>#N/A</v>
      </c>
      <c r="M2" s="4" t="e">
        <v>#N/A</v>
      </c>
      <c r="N2" s="5" t="e">
        <f>B2-M2</f>
        <v>#N/A</v>
      </c>
      <c r="O2" s="5" t="e">
        <f>ABS(N2)</f>
        <v>#N/A</v>
      </c>
      <c r="P2" s="5" t="e">
        <f>N2^2</f>
        <v>#N/A</v>
      </c>
      <c r="Q2" s="5" t="e">
        <f>(ABS(N2/B2))*100</f>
        <v>#N/A</v>
      </c>
      <c r="R2" s="4" t="e">
        <v>#N/A</v>
      </c>
      <c r="S2" s="5" t="e">
        <f>B2-R2</f>
        <v>#N/A</v>
      </c>
      <c r="T2" s="5" t="e" cm="1">
        <f t="array" ref="T2:T30">ABS(S2:S30)</f>
        <v>#N/A</v>
      </c>
      <c r="U2" s="5" t="e">
        <f>S2^2</f>
        <v>#N/A</v>
      </c>
      <c r="V2" s="5" t="e">
        <f>(ABS(S2/B2))*100</f>
        <v>#N/A</v>
      </c>
    </row>
    <row r="3" spans="1:22" ht="16" x14ac:dyDescent="0.2">
      <c r="A3" s="2">
        <v>2</v>
      </c>
      <c r="B3" s="2">
        <v>21</v>
      </c>
      <c r="C3" s="4" t="e">
        <v>#N/A</v>
      </c>
      <c r="D3" s="5" t="e">
        <f t="shared" ref="D3:D30" si="0">B3-C3</f>
        <v>#N/A</v>
      </c>
      <c r="E3" s="5" t="e">
        <f t="shared" ref="E3:E30" si="1">ABS(D3)</f>
        <v>#N/A</v>
      </c>
      <c r="F3" s="5" t="e">
        <f t="shared" ref="F3:F30" si="2">D3^2</f>
        <v>#N/A</v>
      </c>
      <c r="G3" s="5" t="e">
        <f t="shared" ref="G3:G30" si="3">(ABS(D3/B3))*100</f>
        <v>#N/A</v>
      </c>
      <c r="H3" s="4" t="e">
        <v>#N/A</v>
      </c>
      <c r="I3" s="5" t="e">
        <f t="shared" ref="I3:I30" si="4">B3-H3</f>
        <v>#N/A</v>
      </c>
      <c r="J3" s="5" t="e">
        <f t="shared" ref="J3:J30" si="5">ABS(I3)</f>
        <v>#N/A</v>
      </c>
      <c r="K3" s="5" t="e">
        <f t="shared" ref="K3:K30" si="6">I3^2</f>
        <v>#N/A</v>
      </c>
      <c r="L3" s="5" t="e">
        <f t="shared" ref="L3:L30" si="7">(ABS(I3/B3))*100</f>
        <v>#N/A</v>
      </c>
      <c r="M3" s="4" t="e">
        <v>#N/A</v>
      </c>
      <c r="N3" s="5" t="e">
        <f t="shared" ref="N3:N30" si="8">B3-M3</f>
        <v>#N/A</v>
      </c>
      <c r="O3" s="5" t="e">
        <f t="shared" ref="O3:O30" si="9">ABS(N3)</f>
        <v>#N/A</v>
      </c>
      <c r="P3" s="5" t="e">
        <f t="shared" ref="P3:P30" si="10">N3^2</f>
        <v>#N/A</v>
      </c>
      <c r="Q3" s="5" t="e">
        <f t="shared" ref="Q3:Q30" si="11">(ABS(N3/B3))*100</f>
        <v>#N/A</v>
      </c>
      <c r="R3" s="4">
        <f>B2</f>
        <v>17</v>
      </c>
      <c r="S3" s="5">
        <f t="shared" ref="S3:S30" si="12">B3-R3</f>
        <v>4</v>
      </c>
      <c r="T3" s="5">
        <v>4</v>
      </c>
      <c r="U3" s="5">
        <f t="shared" ref="U3:U30" si="13">S3^2</f>
        <v>16</v>
      </c>
      <c r="V3" s="5">
        <f t="shared" ref="V3:V30" si="14">(ABS(S3/B3))*100</f>
        <v>19.047619047619047</v>
      </c>
    </row>
    <row r="4" spans="1:22" ht="16" x14ac:dyDescent="0.2">
      <c r="A4" s="2">
        <v>3</v>
      </c>
      <c r="B4" s="2">
        <v>19</v>
      </c>
      <c r="C4" s="4">
        <f t="shared" ref="C4:C30" si="15">AVERAGE(B2:B4)</f>
        <v>19</v>
      </c>
      <c r="D4" s="5">
        <f t="shared" si="0"/>
        <v>0</v>
      </c>
      <c r="E4" s="5">
        <f t="shared" si="1"/>
        <v>0</v>
      </c>
      <c r="F4" s="5">
        <f t="shared" si="2"/>
        <v>0</v>
      </c>
      <c r="G4" s="5">
        <f t="shared" si="3"/>
        <v>0</v>
      </c>
      <c r="H4" s="4" t="e">
        <v>#N/A</v>
      </c>
      <c r="I4" s="5" t="e">
        <f t="shared" si="4"/>
        <v>#N/A</v>
      </c>
      <c r="J4" s="5" t="e">
        <f t="shared" si="5"/>
        <v>#N/A</v>
      </c>
      <c r="K4" s="5" t="e">
        <f t="shared" si="6"/>
        <v>#N/A</v>
      </c>
      <c r="L4" s="5" t="e">
        <f t="shared" si="7"/>
        <v>#N/A</v>
      </c>
      <c r="M4" s="4" t="e">
        <v>#N/A</v>
      </c>
      <c r="N4" s="5" t="e">
        <f t="shared" si="8"/>
        <v>#N/A</v>
      </c>
      <c r="O4" s="5" t="e">
        <f t="shared" si="9"/>
        <v>#N/A</v>
      </c>
      <c r="P4" s="5" t="e">
        <f t="shared" si="10"/>
        <v>#N/A</v>
      </c>
      <c r="Q4" s="5" t="e">
        <f t="shared" si="11"/>
        <v>#N/A</v>
      </c>
      <c r="R4" s="4">
        <f t="shared" ref="R4:R30" si="16">0.5*B3+0.5*R3</f>
        <v>19</v>
      </c>
      <c r="S4" s="5">
        <f t="shared" si="12"/>
        <v>0</v>
      </c>
      <c r="T4" s="5">
        <v>0</v>
      </c>
      <c r="U4" s="5">
        <f t="shared" si="13"/>
        <v>0</v>
      </c>
      <c r="V4" s="5">
        <f t="shared" si="14"/>
        <v>0</v>
      </c>
    </row>
    <row r="5" spans="1:22" ht="16" x14ac:dyDescent="0.2">
      <c r="A5" s="2">
        <v>4</v>
      </c>
      <c r="B5" s="2">
        <v>23</v>
      </c>
      <c r="C5" s="4">
        <f t="shared" si="15"/>
        <v>21</v>
      </c>
      <c r="D5" s="5">
        <f t="shared" si="0"/>
        <v>2</v>
      </c>
      <c r="E5" s="5">
        <f t="shared" si="1"/>
        <v>2</v>
      </c>
      <c r="F5" s="5">
        <f t="shared" si="2"/>
        <v>4</v>
      </c>
      <c r="G5" s="5">
        <f t="shared" si="3"/>
        <v>8.695652173913043</v>
      </c>
      <c r="H5" s="4">
        <f t="shared" ref="H5:H30" si="17">AVERAGE(B2:B5)</f>
        <v>20</v>
      </c>
      <c r="I5" s="5">
        <f t="shared" si="4"/>
        <v>3</v>
      </c>
      <c r="J5" s="5">
        <f t="shared" si="5"/>
        <v>3</v>
      </c>
      <c r="K5" s="5">
        <f t="shared" si="6"/>
        <v>9</v>
      </c>
      <c r="L5" s="5">
        <f t="shared" si="7"/>
        <v>13.043478260869565</v>
      </c>
      <c r="M5" s="4" t="e">
        <v>#N/A</v>
      </c>
      <c r="N5" s="5" t="e">
        <f t="shared" si="8"/>
        <v>#N/A</v>
      </c>
      <c r="O5" s="5" t="e">
        <f t="shared" si="9"/>
        <v>#N/A</v>
      </c>
      <c r="P5" s="5" t="e">
        <f t="shared" si="10"/>
        <v>#N/A</v>
      </c>
      <c r="Q5" s="5" t="e">
        <f t="shared" si="11"/>
        <v>#N/A</v>
      </c>
      <c r="R5" s="4">
        <f t="shared" si="16"/>
        <v>19</v>
      </c>
      <c r="S5" s="5">
        <f t="shared" si="12"/>
        <v>4</v>
      </c>
      <c r="T5" s="5">
        <v>4</v>
      </c>
      <c r="U5" s="5">
        <f t="shared" si="13"/>
        <v>16</v>
      </c>
      <c r="V5" s="5">
        <f t="shared" si="14"/>
        <v>17.391304347826086</v>
      </c>
    </row>
    <row r="6" spans="1:22" ht="16" x14ac:dyDescent="0.2">
      <c r="A6" s="2">
        <v>5</v>
      </c>
      <c r="B6" s="2">
        <v>18</v>
      </c>
      <c r="C6" s="4">
        <f t="shared" si="15"/>
        <v>20</v>
      </c>
      <c r="D6" s="5">
        <f t="shared" si="0"/>
        <v>-2</v>
      </c>
      <c r="E6" s="5">
        <f t="shared" si="1"/>
        <v>2</v>
      </c>
      <c r="F6" s="5">
        <f t="shared" si="2"/>
        <v>4</v>
      </c>
      <c r="G6" s="5">
        <f t="shared" si="3"/>
        <v>11.111111111111111</v>
      </c>
      <c r="H6" s="4">
        <f t="shared" si="17"/>
        <v>20.25</v>
      </c>
      <c r="I6" s="5">
        <f t="shared" si="4"/>
        <v>-2.25</v>
      </c>
      <c r="J6" s="5">
        <f t="shared" si="5"/>
        <v>2.25</v>
      </c>
      <c r="K6" s="5">
        <f t="shared" si="6"/>
        <v>5.0625</v>
      </c>
      <c r="L6" s="5">
        <f t="shared" si="7"/>
        <v>12.5</v>
      </c>
      <c r="M6" s="4">
        <f t="shared" ref="M6:M30" si="18">AVERAGE(B2:B6)</f>
        <v>19.600000000000001</v>
      </c>
      <c r="N6" s="5">
        <f t="shared" si="8"/>
        <v>-1.6000000000000014</v>
      </c>
      <c r="O6" s="5">
        <f t="shared" si="9"/>
        <v>1.6000000000000014</v>
      </c>
      <c r="P6" s="5">
        <f t="shared" si="10"/>
        <v>2.5600000000000045</v>
      </c>
      <c r="Q6" s="5">
        <f t="shared" si="11"/>
        <v>8.8888888888888964</v>
      </c>
      <c r="R6" s="4">
        <f t="shared" si="16"/>
        <v>21</v>
      </c>
      <c r="S6" s="5">
        <f t="shared" si="12"/>
        <v>-3</v>
      </c>
      <c r="T6" s="5">
        <v>3</v>
      </c>
      <c r="U6" s="5">
        <f t="shared" si="13"/>
        <v>9</v>
      </c>
      <c r="V6" s="5">
        <f t="shared" si="14"/>
        <v>16.666666666666664</v>
      </c>
    </row>
    <row r="7" spans="1:22" ht="16" x14ac:dyDescent="0.2">
      <c r="A7" s="2">
        <v>6</v>
      </c>
      <c r="B7" s="2">
        <v>16</v>
      </c>
      <c r="C7" s="4">
        <f t="shared" si="15"/>
        <v>19</v>
      </c>
      <c r="D7" s="5">
        <f t="shared" si="0"/>
        <v>-3</v>
      </c>
      <c r="E7" s="5">
        <f t="shared" si="1"/>
        <v>3</v>
      </c>
      <c r="F7" s="5">
        <f t="shared" si="2"/>
        <v>9</v>
      </c>
      <c r="G7" s="5">
        <f t="shared" si="3"/>
        <v>18.75</v>
      </c>
      <c r="H7" s="4">
        <f t="shared" si="17"/>
        <v>19</v>
      </c>
      <c r="I7" s="5">
        <f t="shared" si="4"/>
        <v>-3</v>
      </c>
      <c r="J7" s="5">
        <f t="shared" si="5"/>
        <v>3</v>
      </c>
      <c r="K7" s="5">
        <f t="shared" si="6"/>
        <v>9</v>
      </c>
      <c r="L7" s="5">
        <f t="shared" si="7"/>
        <v>18.75</v>
      </c>
      <c r="M7" s="4">
        <f t="shared" si="18"/>
        <v>19.399999999999999</v>
      </c>
      <c r="N7" s="5">
        <f t="shared" si="8"/>
        <v>-3.3999999999999986</v>
      </c>
      <c r="O7" s="5">
        <f t="shared" si="9"/>
        <v>3.3999999999999986</v>
      </c>
      <c r="P7" s="5">
        <f t="shared" si="10"/>
        <v>11.55999999999999</v>
      </c>
      <c r="Q7" s="5">
        <f t="shared" si="11"/>
        <v>21.249999999999993</v>
      </c>
      <c r="R7" s="4">
        <f t="shared" si="16"/>
        <v>19.5</v>
      </c>
      <c r="S7" s="5">
        <f t="shared" si="12"/>
        <v>-3.5</v>
      </c>
      <c r="T7" s="5">
        <v>3.5</v>
      </c>
      <c r="U7" s="5">
        <f t="shared" si="13"/>
        <v>12.25</v>
      </c>
      <c r="V7" s="5">
        <f t="shared" si="14"/>
        <v>21.875</v>
      </c>
    </row>
    <row r="8" spans="1:22" ht="16" x14ac:dyDescent="0.2">
      <c r="A8" s="2">
        <v>7</v>
      </c>
      <c r="B8" s="2">
        <v>20</v>
      </c>
      <c r="C8" s="4">
        <f t="shared" si="15"/>
        <v>18</v>
      </c>
      <c r="D8" s="5">
        <f t="shared" si="0"/>
        <v>2</v>
      </c>
      <c r="E8" s="5">
        <f t="shared" si="1"/>
        <v>2</v>
      </c>
      <c r="F8" s="5">
        <f t="shared" si="2"/>
        <v>4</v>
      </c>
      <c r="G8" s="5">
        <f t="shared" si="3"/>
        <v>10</v>
      </c>
      <c r="H8" s="4">
        <f t="shared" si="17"/>
        <v>19.25</v>
      </c>
      <c r="I8" s="5">
        <f t="shared" si="4"/>
        <v>0.75</v>
      </c>
      <c r="J8" s="5">
        <f t="shared" si="5"/>
        <v>0.75</v>
      </c>
      <c r="K8" s="5">
        <f t="shared" si="6"/>
        <v>0.5625</v>
      </c>
      <c r="L8" s="5">
        <f t="shared" si="7"/>
        <v>3.75</v>
      </c>
      <c r="M8" s="4">
        <f t="shared" si="18"/>
        <v>19.2</v>
      </c>
      <c r="N8" s="5">
        <f t="shared" si="8"/>
        <v>0.80000000000000071</v>
      </c>
      <c r="O8" s="5">
        <f t="shared" si="9"/>
        <v>0.80000000000000071</v>
      </c>
      <c r="P8" s="5">
        <f t="shared" si="10"/>
        <v>0.64000000000000112</v>
      </c>
      <c r="Q8" s="5">
        <f t="shared" si="11"/>
        <v>4.0000000000000036</v>
      </c>
      <c r="R8" s="4">
        <f t="shared" si="16"/>
        <v>17.75</v>
      </c>
      <c r="S8" s="5">
        <f t="shared" si="12"/>
        <v>2.25</v>
      </c>
      <c r="T8" s="5">
        <v>2.25</v>
      </c>
      <c r="U8" s="5">
        <f t="shared" si="13"/>
        <v>5.0625</v>
      </c>
      <c r="V8" s="5">
        <f t="shared" si="14"/>
        <v>11.25</v>
      </c>
    </row>
    <row r="9" spans="1:22" ht="16" x14ac:dyDescent="0.2">
      <c r="A9" s="2">
        <v>8</v>
      </c>
      <c r="B9" s="2">
        <v>18</v>
      </c>
      <c r="C9" s="4">
        <f t="shared" si="15"/>
        <v>18</v>
      </c>
      <c r="D9" s="5">
        <f t="shared" si="0"/>
        <v>0</v>
      </c>
      <c r="E9" s="5">
        <f t="shared" si="1"/>
        <v>0</v>
      </c>
      <c r="F9" s="5">
        <f t="shared" si="2"/>
        <v>0</v>
      </c>
      <c r="G9" s="5">
        <f t="shared" si="3"/>
        <v>0</v>
      </c>
      <c r="H9" s="4">
        <f t="shared" si="17"/>
        <v>18</v>
      </c>
      <c r="I9" s="5">
        <f t="shared" si="4"/>
        <v>0</v>
      </c>
      <c r="J9" s="5">
        <f t="shared" si="5"/>
        <v>0</v>
      </c>
      <c r="K9" s="5">
        <f t="shared" si="6"/>
        <v>0</v>
      </c>
      <c r="L9" s="5">
        <f t="shared" si="7"/>
        <v>0</v>
      </c>
      <c r="M9" s="4">
        <f t="shared" si="18"/>
        <v>19</v>
      </c>
      <c r="N9" s="5">
        <f t="shared" si="8"/>
        <v>-1</v>
      </c>
      <c r="O9" s="5">
        <f t="shared" si="9"/>
        <v>1</v>
      </c>
      <c r="P9" s="5">
        <f t="shared" si="10"/>
        <v>1</v>
      </c>
      <c r="Q9" s="5">
        <f t="shared" si="11"/>
        <v>5.5555555555555554</v>
      </c>
      <c r="R9" s="4">
        <f t="shared" si="16"/>
        <v>18.875</v>
      </c>
      <c r="S9" s="5">
        <f t="shared" si="12"/>
        <v>-0.875</v>
      </c>
      <c r="T9" s="5">
        <v>0.875</v>
      </c>
      <c r="U9" s="5">
        <f t="shared" si="13"/>
        <v>0.765625</v>
      </c>
      <c r="V9" s="5">
        <f t="shared" si="14"/>
        <v>4.8611111111111116</v>
      </c>
    </row>
    <row r="10" spans="1:22" ht="16" x14ac:dyDescent="0.2">
      <c r="A10" s="2">
        <v>9</v>
      </c>
      <c r="B10" s="2">
        <v>22</v>
      </c>
      <c r="C10" s="4">
        <f t="shared" si="15"/>
        <v>20</v>
      </c>
      <c r="D10" s="5">
        <f t="shared" si="0"/>
        <v>2</v>
      </c>
      <c r="E10" s="5">
        <f t="shared" si="1"/>
        <v>2</v>
      </c>
      <c r="F10" s="5">
        <f t="shared" si="2"/>
        <v>4</v>
      </c>
      <c r="G10" s="5">
        <f t="shared" si="3"/>
        <v>9.0909090909090917</v>
      </c>
      <c r="H10" s="4">
        <f t="shared" si="17"/>
        <v>19</v>
      </c>
      <c r="I10" s="5">
        <f t="shared" si="4"/>
        <v>3</v>
      </c>
      <c r="J10" s="5">
        <f t="shared" si="5"/>
        <v>3</v>
      </c>
      <c r="K10" s="5">
        <f t="shared" si="6"/>
        <v>9</v>
      </c>
      <c r="L10" s="5">
        <f t="shared" si="7"/>
        <v>13.636363636363635</v>
      </c>
      <c r="M10" s="4">
        <f t="shared" si="18"/>
        <v>18.8</v>
      </c>
      <c r="N10" s="5">
        <f t="shared" si="8"/>
        <v>3.1999999999999993</v>
      </c>
      <c r="O10" s="5">
        <f t="shared" si="9"/>
        <v>3.1999999999999993</v>
      </c>
      <c r="P10" s="5">
        <f t="shared" si="10"/>
        <v>10.239999999999995</v>
      </c>
      <c r="Q10" s="5">
        <f t="shared" si="11"/>
        <v>14.545454545454541</v>
      </c>
      <c r="R10" s="4">
        <f t="shared" si="16"/>
        <v>18.4375</v>
      </c>
      <c r="S10" s="5">
        <f t="shared" si="12"/>
        <v>3.5625</v>
      </c>
      <c r="T10" s="5">
        <v>3.5625</v>
      </c>
      <c r="U10" s="5">
        <f t="shared" si="13"/>
        <v>12.69140625</v>
      </c>
      <c r="V10" s="5">
        <f t="shared" si="14"/>
        <v>16.193181818181817</v>
      </c>
    </row>
    <row r="11" spans="1:22" ht="16" x14ac:dyDescent="0.2">
      <c r="A11" s="2">
        <v>10</v>
      </c>
      <c r="B11" s="2">
        <v>20</v>
      </c>
      <c r="C11" s="4">
        <f t="shared" si="15"/>
        <v>20</v>
      </c>
      <c r="D11" s="5">
        <f t="shared" si="0"/>
        <v>0</v>
      </c>
      <c r="E11" s="5">
        <f t="shared" si="1"/>
        <v>0</v>
      </c>
      <c r="F11" s="5">
        <f t="shared" si="2"/>
        <v>0</v>
      </c>
      <c r="G11" s="5">
        <f t="shared" si="3"/>
        <v>0</v>
      </c>
      <c r="H11" s="4">
        <f t="shared" si="17"/>
        <v>20</v>
      </c>
      <c r="I11" s="5">
        <f t="shared" si="4"/>
        <v>0</v>
      </c>
      <c r="J11" s="5">
        <f t="shared" si="5"/>
        <v>0</v>
      </c>
      <c r="K11" s="5">
        <f t="shared" si="6"/>
        <v>0</v>
      </c>
      <c r="L11" s="5">
        <f t="shared" si="7"/>
        <v>0</v>
      </c>
      <c r="M11" s="4">
        <f t="shared" si="18"/>
        <v>19.2</v>
      </c>
      <c r="N11" s="5">
        <f t="shared" si="8"/>
        <v>0.80000000000000071</v>
      </c>
      <c r="O11" s="5">
        <f t="shared" si="9"/>
        <v>0.80000000000000071</v>
      </c>
      <c r="P11" s="5">
        <f t="shared" si="10"/>
        <v>0.64000000000000112</v>
      </c>
      <c r="Q11" s="5">
        <f t="shared" si="11"/>
        <v>4.0000000000000036</v>
      </c>
      <c r="R11" s="4">
        <f t="shared" si="16"/>
        <v>20.21875</v>
      </c>
      <c r="S11" s="5">
        <f t="shared" si="12"/>
        <v>-0.21875</v>
      </c>
      <c r="T11" s="5">
        <v>0.21875</v>
      </c>
      <c r="U11" s="5">
        <f t="shared" si="13"/>
        <v>4.78515625E-2</v>
      </c>
      <c r="V11" s="5">
        <f t="shared" si="14"/>
        <v>1.09375</v>
      </c>
    </row>
    <row r="12" spans="1:22" ht="16" x14ac:dyDescent="0.2">
      <c r="A12" s="2">
        <v>11</v>
      </c>
      <c r="B12" s="2">
        <v>15</v>
      </c>
      <c r="C12" s="4">
        <f t="shared" si="15"/>
        <v>19</v>
      </c>
      <c r="D12" s="5">
        <f t="shared" si="0"/>
        <v>-4</v>
      </c>
      <c r="E12" s="5">
        <f t="shared" si="1"/>
        <v>4</v>
      </c>
      <c r="F12" s="5">
        <f t="shared" si="2"/>
        <v>16</v>
      </c>
      <c r="G12" s="5">
        <f t="shared" si="3"/>
        <v>26.666666666666668</v>
      </c>
      <c r="H12" s="4">
        <f t="shared" si="17"/>
        <v>18.75</v>
      </c>
      <c r="I12" s="5">
        <f t="shared" si="4"/>
        <v>-3.75</v>
      </c>
      <c r="J12" s="5">
        <f t="shared" si="5"/>
        <v>3.75</v>
      </c>
      <c r="K12" s="5">
        <f t="shared" si="6"/>
        <v>14.0625</v>
      </c>
      <c r="L12" s="5">
        <f t="shared" si="7"/>
        <v>25</v>
      </c>
      <c r="M12" s="4">
        <f t="shared" si="18"/>
        <v>19</v>
      </c>
      <c r="N12" s="5">
        <f t="shared" si="8"/>
        <v>-4</v>
      </c>
      <c r="O12" s="5">
        <f t="shared" si="9"/>
        <v>4</v>
      </c>
      <c r="P12" s="5">
        <f t="shared" si="10"/>
        <v>16</v>
      </c>
      <c r="Q12" s="5">
        <f t="shared" si="11"/>
        <v>26.666666666666668</v>
      </c>
      <c r="R12" s="4">
        <f t="shared" si="16"/>
        <v>20.109375</v>
      </c>
      <c r="S12" s="5">
        <f t="shared" si="12"/>
        <v>-5.109375</v>
      </c>
      <c r="T12" s="5">
        <v>5.109375</v>
      </c>
      <c r="U12" s="5">
        <f t="shared" si="13"/>
        <v>26.105712890625</v>
      </c>
      <c r="V12" s="5">
        <f t="shared" si="14"/>
        <v>34.0625</v>
      </c>
    </row>
    <row r="13" spans="1:22" ht="16" x14ac:dyDescent="0.2">
      <c r="A13" s="2">
        <v>12</v>
      </c>
      <c r="B13" s="2">
        <v>20</v>
      </c>
      <c r="C13" s="4">
        <f t="shared" si="15"/>
        <v>18.333333333333332</v>
      </c>
      <c r="D13" s="5">
        <f t="shared" si="0"/>
        <v>1.6666666666666679</v>
      </c>
      <c r="E13" s="5">
        <f t="shared" si="1"/>
        <v>1.6666666666666679</v>
      </c>
      <c r="F13" s="5">
        <f t="shared" si="2"/>
        <v>2.7777777777777817</v>
      </c>
      <c r="G13" s="5">
        <f t="shared" si="3"/>
        <v>8.3333333333333393</v>
      </c>
      <c r="H13" s="4">
        <f t="shared" si="17"/>
        <v>19.25</v>
      </c>
      <c r="I13" s="5">
        <f t="shared" si="4"/>
        <v>0.75</v>
      </c>
      <c r="J13" s="5">
        <f t="shared" si="5"/>
        <v>0.75</v>
      </c>
      <c r="K13" s="5">
        <f t="shared" si="6"/>
        <v>0.5625</v>
      </c>
      <c r="L13" s="5">
        <f t="shared" si="7"/>
        <v>3.75</v>
      </c>
      <c r="M13" s="4">
        <f t="shared" si="18"/>
        <v>19</v>
      </c>
      <c r="N13" s="5">
        <f t="shared" si="8"/>
        <v>1</v>
      </c>
      <c r="O13" s="5">
        <f t="shared" si="9"/>
        <v>1</v>
      </c>
      <c r="P13" s="5">
        <f t="shared" si="10"/>
        <v>1</v>
      </c>
      <c r="Q13" s="5">
        <f t="shared" si="11"/>
        <v>5</v>
      </c>
      <c r="R13" s="4">
        <f t="shared" si="16"/>
        <v>17.5546875</v>
      </c>
      <c r="S13" s="5">
        <f t="shared" si="12"/>
        <v>2.4453125</v>
      </c>
      <c r="T13" s="5">
        <v>2.4453125</v>
      </c>
      <c r="U13" s="5">
        <f t="shared" si="13"/>
        <v>5.97955322265625</v>
      </c>
      <c r="V13" s="5">
        <f t="shared" si="14"/>
        <v>12.2265625</v>
      </c>
    </row>
    <row r="14" spans="1:22" ht="16" x14ac:dyDescent="0.2">
      <c r="A14" s="2">
        <v>13</v>
      </c>
      <c r="B14" s="2">
        <v>20</v>
      </c>
      <c r="C14" s="4">
        <f t="shared" si="15"/>
        <v>18.333333333333332</v>
      </c>
      <c r="D14" s="5">
        <f t="shared" si="0"/>
        <v>1.6666666666666679</v>
      </c>
      <c r="E14" s="5">
        <f t="shared" si="1"/>
        <v>1.6666666666666679</v>
      </c>
      <c r="F14" s="5">
        <f t="shared" si="2"/>
        <v>2.7777777777777817</v>
      </c>
      <c r="G14" s="5">
        <f t="shared" si="3"/>
        <v>8.3333333333333393</v>
      </c>
      <c r="H14" s="4">
        <f t="shared" si="17"/>
        <v>18.75</v>
      </c>
      <c r="I14" s="5">
        <f t="shared" si="4"/>
        <v>1.25</v>
      </c>
      <c r="J14" s="5">
        <f t="shared" si="5"/>
        <v>1.25</v>
      </c>
      <c r="K14" s="5">
        <f t="shared" si="6"/>
        <v>1.5625</v>
      </c>
      <c r="L14" s="5">
        <f t="shared" si="7"/>
        <v>6.25</v>
      </c>
      <c r="M14" s="4">
        <f t="shared" si="18"/>
        <v>19.399999999999999</v>
      </c>
      <c r="N14" s="5">
        <f t="shared" si="8"/>
        <v>0.60000000000000142</v>
      </c>
      <c r="O14" s="5">
        <f t="shared" si="9"/>
        <v>0.60000000000000142</v>
      </c>
      <c r="P14" s="5">
        <f t="shared" si="10"/>
        <v>0.36000000000000171</v>
      </c>
      <c r="Q14" s="5">
        <f t="shared" si="11"/>
        <v>3.0000000000000071</v>
      </c>
      <c r="R14" s="4">
        <f t="shared" si="16"/>
        <v>18.77734375</v>
      </c>
      <c r="S14" s="5">
        <f t="shared" si="12"/>
        <v>1.22265625</v>
      </c>
      <c r="T14" s="5">
        <v>1.22265625</v>
      </c>
      <c r="U14" s="5">
        <f t="shared" si="13"/>
        <v>1.4948883056640625</v>
      </c>
      <c r="V14" s="5">
        <f t="shared" si="14"/>
        <v>6.11328125</v>
      </c>
    </row>
    <row r="15" spans="1:22" ht="16" x14ac:dyDescent="0.2">
      <c r="A15" s="2">
        <v>14</v>
      </c>
      <c r="B15" s="2">
        <v>17</v>
      </c>
      <c r="C15" s="4">
        <f t="shared" si="15"/>
        <v>19</v>
      </c>
      <c r="D15" s="5">
        <f t="shared" si="0"/>
        <v>-2</v>
      </c>
      <c r="E15" s="5">
        <f t="shared" si="1"/>
        <v>2</v>
      </c>
      <c r="F15" s="5">
        <f t="shared" si="2"/>
        <v>4</v>
      </c>
      <c r="G15" s="5">
        <f t="shared" si="3"/>
        <v>11.76470588235294</v>
      </c>
      <c r="H15" s="4">
        <f t="shared" si="17"/>
        <v>18</v>
      </c>
      <c r="I15" s="5">
        <f t="shared" si="4"/>
        <v>-1</v>
      </c>
      <c r="J15" s="5">
        <f t="shared" si="5"/>
        <v>1</v>
      </c>
      <c r="K15" s="5">
        <f t="shared" si="6"/>
        <v>1</v>
      </c>
      <c r="L15" s="5">
        <f t="shared" si="7"/>
        <v>5.8823529411764701</v>
      </c>
      <c r="M15" s="4">
        <f t="shared" si="18"/>
        <v>18.399999999999999</v>
      </c>
      <c r="N15" s="5">
        <f t="shared" si="8"/>
        <v>-1.3999999999999986</v>
      </c>
      <c r="O15" s="5">
        <f t="shared" si="9"/>
        <v>1.3999999999999986</v>
      </c>
      <c r="P15" s="5">
        <f t="shared" si="10"/>
        <v>1.959999999999996</v>
      </c>
      <c r="Q15" s="5">
        <f t="shared" si="11"/>
        <v>8.2352941176470509</v>
      </c>
      <c r="R15" s="4">
        <f t="shared" si="16"/>
        <v>19.388671875</v>
      </c>
      <c r="S15" s="5">
        <f t="shared" si="12"/>
        <v>-2.388671875</v>
      </c>
      <c r="T15" s="5">
        <v>2.388671875</v>
      </c>
      <c r="U15" s="5">
        <f t="shared" si="13"/>
        <v>5.7057533264160156</v>
      </c>
      <c r="V15" s="5">
        <f t="shared" si="14"/>
        <v>14.051011029411764</v>
      </c>
    </row>
    <row r="16" spans="1:22" ht="16" x14ac:dyDescent="0.2">
      <c r="A16" s="2">
        <v>15</v>
      </c>
      <c r="B16" s="2">
        <v>24</v>
      </c>
      <c r="C16" s="4">
        <f t="shared" si="15"/>
        <v>20.333333333333332</v>
      </c>
      <c r="D16" s="5">
        <f t="shared" si="0"/>
        <v>3.6666666666666679</v>
      </c>
      <c r="E16" s="5">
        <f t="shared" si="1"/>
        <v>3.6666666666666679</v>
      </c>
      <c r="F16" s="5">
        <f t="shared" si="2"/>
        <v>13.444444444444454</v>
      </c>
      <c r="G16" s="5">
        <f t="shared" si="3"/>
        <v>15.277777777777782</v>
      </c>
      <c r="H16" s="4">
        <f t="shared" si="17"/>
        <v>20.25</v>
      </c>
      <c r="I16" s="5">
        <f t="shared" si="4"/>
        <v>3.75</v>
      </c>
      <c r="J16" s="5">
        <f t="shared" si="5"/>
        <v>3.75</v>
      </c>
      <c r="K16" s="5">
        <f t="shared" si="6"/>
        <v>14.0625</v>
      </c>
      <c r="L16" s="5">
        <f t="shared" si="7"/>
        <v>15.625</v>
      </c>
      <c r="M16" s="4">
        <f t="shared" si="18"/>
        <v>19.2</v>
      </c>
      <c r="N16" s="5">
        <f t="shared" si="8"/>
        <v>4.8000000000000007</v>
      </c>
      <c r="O16" s="5">
        <f t="shared" si="9"/>
        <v>4.8000000000000007</v>
      </c>
      <c r="P16" s="5">
        <f t="shared" si="10"/>
        <v>23.040000000000006</v>
      </c>
      <c r="Q16" s="5">
        <f t="shared" si="11"/>
        <v>20.000000000000004</v>
      </c>
      <c r="R16" s="4">
        <f t="shared" si="16"/>
        <v>18.1943359375</v>
      </c>
      <c r="S16" s="5">
        <f t="shared" si="12"/>
        <v>5.8056640625</v>
      </c>
      <c r="T16" s="5">
        <v>5.8056640625</v>
      </c>
      <c r="U16" s="5">
        <f t="shared" si="13"/>
        <v>33.705735206604004</v>
      </c>
      <c r="V16" s="5">
        <f t="shared" si="14"/>
        <v>24.190266927083336</v>
      </c>
    </row>
    <row r="17" spans="1:22" ht="16" x14ac:dyDescent="0.2">
      <c r="A17" s="2">
        <v>16</v>
      </c>
      <c r="B17" s="2">
        <v>21</v>
      </c>
      <c r="C17" s="4">
        <f t="shared" si="15"/>
        <v>20.666666666666668</v>
      </c>
      <c r="D17" s="5">
        <f t="shared" si="0"/>
        <v>0.33333333333333215</v>
      </c>
      <c r="E17" s="5">
        <f t="shared" si="1"/>
        <v>0.33333333333333215</v>
      </c>
      <c r="F17" s="5">
        <f t="shared" si="2"/>
        <v>0.11111111111111033</v>
      </c>
      <c r="G17" s="5">
        <f t="shared" si="3"/>
        <v>1.5873015873015817</v>
      </c>
      <c r="H17" s="4">
        <f t="shared" si="17"/>
        <v>20.5</v>
      </c>
      <c r="I17" s="5">
        <f t="shared" si="4"/>
        <v>0.5</v>
      </c>
      <c r="J17" s="5">
        <f t="shared" si="5"/>
        <v>0.5</v>
      </c>
      <c r="K17" s="5">
        <f t="shared" si="6"/>
        <v>0.25</v>
      </c>
      <c r="L17" s="5">
        <f t="shared" si="7"/>
        <v>2.3809523809523809</v>
      </c>
      <c r="M17" s="4">
        <f t="shared" si="18"/>
        <v>20.399999999999999</v>
      </c>
      <c r="N17" s="5">
        <f t="shared" si="8"/>
        <v>0.60000000000000142</v>
      </c>
      <c r="O17" s="5">
        <f t="shared" si="9"/>
        <v>0.60000000000000142</v>
      </c>
      <c r="P17" s="5">
        <f t="shared" si="10"/>
        <v>0.36000000000000171</v>
      </c>
      <c r="Q17" s="5">
        <f t="shared" si="11"/>
        <v>2.8571428571428639</v>
      </c>
      <c r="R17" s="4">
        <f t="shared" si="16"/>
        <v>21.09716796875</v>
      </c>
      <c r="S17" s="5">
        <f t="shared" si="12"/>
        <v>-9.716796875E-2</v>
      </c>
      <c r="T17" s="5">
        <v>9.716796875E-2</v>
      </c>
      <c r="U17" s="5">
        <f t="shared" si="13"/>
        <v>9.4416141510009766E-3</v>
      </c>
      <c r="V17" s="5">
        <f t="shared" si="14"/>
        <v>0.46270461309523808</v>
      </c>
    </row>
    <row r="18" spans="1:22" ht="16" x14ac:dyDescent="0.2">
      <c r="A18" s="2">
        <v>17</v>
      </c>
      <c r="B18" s="2">
        <v>22</v>
      </c>
      <c r="C18" s="4">
        <f t="shared" si="15"/>
        <v>22.333333333333332</v>
      </c>
      <c r="D18" s="5">
        <f t="shared" si="0"/>
        <v>-0.33333333333333215</v>
      </c>
      <c r="E18" s="5">
        <f t="shared" si="1"/>
        <v>0.33333333333333215</v>
      </c>
      <c r="F18" s="5">
        <f t="shared" si="2"/>
        <v>0.11111111111111033</v>
      </c>
      <c r="G18" s="5">
        <f t="shared" si="3"/>
        <v>1.5151515151515098</v>
      </c>
      <c r="H18" s="4">
        <f t="shared" si="17"/>
        <v>21</v>
      </c>
      <c r="I18" s="5">
        <f t="shared" si="4"/>
        <v>1</v>
      </c>
      <c r="J18" s="5">
        <f t="shared" si="5"/>
        <v>1</v>
      </c>
      <c r="K18" s="5">
        <f t="shared" si="6"/>
        <v>1</v>
      </c>
      <c r="L18" s="5">
        <f t="shared" si="7"/>
        <v>4.5454545454545459</v>
      </c>
      <c r="M18" s="4">
        <f t="shared" si="18"/>
        <v>20.8</v>
      </c>
      <c r="N18" s="5">
        <f t="shared" si="8"/>
        <v>1.1999999999999993</v>
      </c>
      <c r="O18" s="5">
        <f t="shared" si="9"/>
        <v>1.1999999999999993</v>
      </c>
      <c r="P18" s="5">
        <f t="shared" si="10"/>
        <v>1.4399999999999984</v>
      </c>
      <c r="Q18" s="5">
        <f t="shared" si="11"/>
        <v>5.4545454545454515</v>
      </c>
      <c r="R18" s="4">
        <f t="shared" si="16"/>
        <v>21.048583984375</v>
      </c>
      <c r="S18" s="5">
        <f t="shared" si="12"/>
        <v>0.951416015625</v>
      </c>
      <c r="T18" s="5">
        <v>0.951416015625</v>
      </c>
      <c r="U18" s="5">
        <f t="shared" si="13"/>
        <v>0.90519243478775024</v>
      </c>
      <c r="V18" s="5">
        <f t="shared" si="14"/>
        <v>4.3246182528409092</v>
      </c>
    </row>
    <row r="19" spans="1:22" ht="16" x14ac:dyDescent="0.2">
      <c r="A19" s="2">
        <v>18</v>
      </c>
      <c r="B19" s="2">
        <v>17</v>
      </c>
      <c r="C19" s="4">
        <f t="shared" si="15"/>
        <v>20</v>
      </c>
      <c r="D19" s="5">
        <f t="shared" si="0"/>
        <v>-3</v>
      </c>
      <c r="E19" s="5">
        <f t="shared" si="1"/>
        <v>3</v>
      </c>
      <c r="F19" s="5">
        <f t="shared" si="2"/>
        <v>9</v>
      </c>
      <c r="G19" s="5">
        <f t="shared" si="3"/>
        <v>17.647058823529413</v>
      </c>
      <c r="H19" s="4">
        <f t="shared" si="17"/>
        <v>21</v>
      </c>
      <c r="I19" s="5">
        <f t="shared" si="4"/>
        <v>-4</v>
      </c>
      <c r="J19" s="5">
        <f t="shared" si="5"/>
        <v>4</v>
      </c>
      <c r="K19" s="5">
        <f t="shared" si="6"/>
        <v>16</v>
      </c>
      <c r="L19" s="5">
        <f t="shared" si="7"/>
        <v>23.52941176470588</v>
      </c>
      <c r="M19" s="4">
        <f t="shared" si="18"/>
        <v>20.2</v>
      </c>
      <c r="N19" s="5">
        <f t="shared" si="8"/>
        <v>-3.1999999999999993</v>
      </c>
      <c r="O19" s="5">
        <f t="shared" si="9"/>
        <v>3.1999999999999993</v>
      </c>
      <c r="P19" s="5">
        <f t="shared" si="10"/>
        <v>10.239999999999995</v>
      </c>
      <c r="Q19" s="5">
        <f t="shared" si="11"/>
        <v>18.823529411764703</v>
      </c>
      <c r="R19" s="4">
        <f t="shared" si="16"/>
        <v>21.5242919921875</v>
      </c>
      <c r="S19" s="5">
        <f t="shared" si="12"/>
        <v>-4.5242919921875</v>
      </c>
      <c r="T19" s="5">
        <v>4.5242919921875</v>
      </c>
      <c r="U19" s="5">
        <f t="shared" si="13"/>
        <v>20.469218030571938</v>
      </c>
      <c r="V19" s="5">
        <f t="shared" si="14"/>
        <v>26.613482306985293</v>
      </c>
    </row>
    <row r="20" spans="1:22" ht="16" x14ac:dyDescent="0.2">
      <c r="A20" s="2">
        <v>19</v>
      </c>
      <c r="B20" s="2">
        <v>24</v>
      </c>
      <c r="C20" s="4">
        <f t="shared" si="15"/>
        <v>21</v>
      </c>
      <c r="D20" s="5">
        <f t="shared" si="0"/>
        <v>3</v>
      </c>
      <c r="E20" s="5">
        <f t="shared" si="1"/>
        <v>3</v>
      </c>
      <c r="F20" s="5">
        <f t="shared" si="2"/>
        <v>9</v>
      </c>
      <c r="G20" s="5">
        <f t="shared" si="3"/>
        <v>12.5</v>
      </c>
      <c r="H20" s="4">
        <f t="shared" si="17"/>
        <v>21</v>
      </c>
      <c r="I20" s="5">
        <f t="shared" si="4"/>
        <v>3</v>
      </c>
      <c r="J20" s="5">
        <f t="shared" si="5"/>
        <v>3</v>
      </c>
      <c r="K20" s="5">
        <f t="shared" si="6"/>
        <v>9</v>
      </c>
      <c r="L20" s="5">
        <f t="shared" si="7"/>
        <v>12.5</v>
      </c>
      <c r="M20" s="4">
        <f t="shared" si="18"/>
        <v>21.6</v>
      </c>
      <c r="N20" s="5">
        <f t="shared" si="8"/>
        <v>2.3999999999999986</v>
      </c>
      <c r="O20" s="5">
        <f t="shared" si="9"/>
        <v>2.3999999999999986</v>
      </c>
      <c r="P20" s="5">
        <f t="shared" si="10"/>
        <v>5.7599999999999936</v>
      </c>
      <c r="Q20" s="5">
        <f t="shared" si="11"/>
        <v>9.9999999999999929</v>
      </c>
      <c r="R20" s="4">
        <f t="shared" si="16"/>
        <v>19.26214599609375</v>
      </c>
      <c r="S20" s="5">
        <f t="shared" si="12"/>
        <v>4.73785400390625</v>
      </c>
      <c r="T20" s="5">
        <v>4.73785400390625</v>
      </c>
      <c r="U20" s="5">
        <f t="shared" si="13"/>
        <v>22.447260562330484</v>
      </c>
      <c r="V20" s="5">
        <f t="shared" si="14"/>
        <v>19.741058349609375</v>
      </c>
    </row>
    <row r="21" spans="1:22" ht="16" x14ac:dyDescent="0.2">
      <c r="A21" s="2">
        <v>20</v>
      </c>
      <c r="B21" s="2">
        <v>23</v>
      </c>
      <c r="C21" s="4">
        <f t="shared" si="15"/>
        <v>21.333333333333332</v>
      </c>
      <c r="D21" s="5">
        <f t="shared" si="0"/>
        <v>1.6666666666666679</v>
      </c>
      <c r="E21" s="5">
        <f t="shared" si="1"/>
        <v>1.6666666666666679</v>
      </c>
      <c r="F21" s="5">
        <f t="shared" si="2"/>
        <v>2.7777777777777817</v>
      </c>
      <c r="G21" s="5">
        <f t="shared" si="3"/>
        <v>7.2463768115942084</v>
      </c>
      <c r="H21" s="4">
        <f t="shared" si="17"/>
        <v>21.5</v>
      </c>
      <c r="I21" s="5">
        <f t="shared" si="4"/>
        <v>1.5</v>
      </c>
      <c r="J21" s="5">
        <f t="shared" si="5"/>
        <v>1.5</v>
      </c>
      <c r="K21" s="5">
        <f t="shared" si="6"/>
        <v>2.25</v>
      </c>
      <c r="L21" s="5">
        <f t="shared" si="7"/>
        <v>6.5217391304347823</v>
      </c>
      <c r="M21" s="4">
        <f t="shared" si="18"/>
        <v>21.4</v>
      </c>
      <c r="N21" s="5">
        <f t="shared" si="8"/>
        <v>1.6000000000000014</v>
      </c>
      <c r="O21" s="5">
        <f t="shared" si="9"/>
        <v>1.6000000000000014</v>
      </c>
      <c r="P21" s="5">
        <f t="shared" si="10"/>
        <v>2.5600000000000045</v>
      </c>
      <c r="Q21" s="5">
        <f t="shared" si="11"/>
        <v>6.9565217391304408</v>
      </c>
      <c r="R21" s="4">
        <f t="shared" si="16"/>
        <v>21.631072998046875</v>
      </c>
      <c r="S21" s="5">
        <f t="shared" si="12"/>
        <v>1.368927001953125</v>
      </c>
      <c r="T21" s="5">
        <v>1.368927001953125</v>
      </c>
      <c r="U21" s="5">
        <f t="shared" si="13"/>
        <v>1.8739611366763711</v>
      </c>
      <c r="V21" s="5">
        <f t="shared" si="14"/>
        <v>5.9518565302309785</v>
      </c>
    </row>
    <row r="22" spans="1:22" ht="16" x14ac:dyDescent="0.2">
      <c r="A22" s="2">
        <v>21</v>
      </c>
      <c r="B22" s="2">
        <v>26</v>
      </c>
      <c r="C22" s="4">
        <f t="shared" si="15"/>
        <v>24.333333333333332</v>
      </c>
      <c r="D22" s="5">
        <f t="shared" si="0"/>
        <v>1.6666666666666679</v>
      </c>
      <c r="E22" s="5">
        <f t="shared" si="1"/>
        <v>1.6666666666666679</v>
      </c>
      <c r="F22" s="5">
        <f t="shared" si="2"/>
        <v>2.7777777777777817</v>
      </c>
      <c r="G22" s="5">
        <f t="shared" si="3"/>
        <v>6.410256410256415</v>
      </c>
      <c r="H22" s="4">
        <f t="shared" si="17"/>
        <v>22.5</v>
      </c>
      <c r="I22" s="5">
        <f t="shared" si="4"/>
        <v>3.5</v>
      </c>
      <c r="J22" s="5">
        <f t="shared" si="5"/>
        <v>3.5</v>
      </c>
      <c r="K22" s="5">
        <f t="shared" si="6"/>
        <v>12.25</v>
      </c>
      <c r="L22" s="5">
        <f t="shared" si="7"/>
        <v>13.461538461538462</v>
      </c>
      <c r="M22" s="4">
        <f t="shared" si="18"/>
        <v>22.4</v>
      </c>
      <c r="N22" s="5">
        <f t="shared" si="8"/>
        <v>3.6000000000000014</v>
      </c>
      <c r="O22" s="5">
        <f t="shared" si="9"/>
        <v>3.6000000000000014</v>
      </c>
      <c r="P22" s="5">
        <f t="shared" si="10"/>
        <v>12.96000000000001</v>
      </c>
      <c r="Q22" s="5">
        <f t="shared" si="11"/>
        <v>13.846153846153852</v>
      </c>
      <c r="R22" s="4">
        <f t="shared" si="16"/>
        <v>22.315536499023438</v>
      </c>
      <c r="S22" s="5">
        <f t="shared" si="12"/>
        <v>3.6844635009765625</v>
      </c>
      <c r="T22" s="5">
        <v>3.6844635009765625</v>
      </c>
      <c r="U22" s="5">
        <f t="shared" si="13"/>
        <v>13.575271290028468</v>
      </c>
      <c r="V22" s="5">
        <f t="shared" si="14"/>
        <v>14.171013465294472</v>
      </c>
    </row>
    <row r="23" spans="1:22" ht="16" x14ac:dyDescent="0.2">
      <c r="A23" s="2">
        <v>22</v>
      </c>
      <c r="B23" s="2">
        <v>23</v>
      </c>
      <c r="C23" s="4">
        <f t="shared" si="15"/>
        <v>24</v>
      </c>
      <c r="D23" s="5">
        <f t="shared" si="0"/>
        <v>-1</v>
      </c>
      <c r="E23" s="5">
        <f t="shared" si="1"/>
        <v>1</v>
      </c>
      <c r="F23" s="5">
        <f t="shared" si="2"/>
        <v>1</v>
      </c>
      <c r="G23" s="5">
        <f t="shared" si="3"/>
        <v>4.3478260869565215</v>
      </c>
      <c r="H23" s="4">
        <f t="shared" si="17"/>
        <v>24</v>
      </c>
      <c r="I23" s="5">
        <f t="shared" si="4"/>
        <v>-1</v>
      </c>
      <c r="J23" s="5">
        <f t="shared" si="5"/>
        <v>1</v>
      </c>
      <c r="K23" s="5">
        <f t="shared" si="6"/>
        <v>1</v>
      </c>
      <c r="L23" s="5">
        <f t="shared" si="7"/>
        <v>4.3478260869565215</v>
      </c>
      <c r="M23" s="4">
        <f t="shared" si="18"/>
        <v>22.6</v>
      </c>
      <c r="N23" s="5">
        <f t="shared" si="8"/>
        <v>0.39999999999999858</v>
      </c>
      <c r="O23" s="5">
        <f t="shared" si="9"/>
        <v>0.39999999999999858</v>
      </c>
      <c r="P23" s="5">
        <f t="shared" si="10"/>
        <v>0.15999999999999887</v>
      </c>
      <c r="Q23" s="5">
        <f t="shared" si="11"/>
        <v>1.7391304347826024</v>
      </c>
      <c r="R23" s="4">
        <f t="shared" si="16"/>
        <v>24.157768249511719</v>
      </c>
      <c r="S23" s="5">
        <f t="shared" si="12"/>
        <v>-1.1577682495117188</v>
      </c>
      <c r="T23" s="5">
        <v>1.1577682495117188</v>
      </c>
      <c r="U23" s="5">
        <f t="shared" si="13"/>
        <v>1.3404273195774294</v>
      </c>
      <c r="V23" s="5">
        <f t="shared" si="14"/>
        <v>5.0337749978770381</v>
      </c>
    </row>
    <row r="24" spans="1:22" ht="16" x14ac:dyDescent="0.2">
      <c r="A24" s="2">
        <v>23</v>
      </c>
      <c r="B24" s="2">
        <v>23</v>
      </c>
      <c r="C24" s="4">
        <f t="shared" si="15"/>
        <v>24</v>
      </c>
      <c r="D24" s="5">
        <f t="shared" si="0"/>
        <v>-1</v>
      </c>
      <c r="E24" s="5">
        <f t="shared" si="1"/>
        <v>1</v>
      </c>
      <c r="F24" s="5">
        <f t="shared" si="2"/>
        <v>1</v>
      </c>
      <c r="G24" s="5">
        <f t="shared" si="3"/>
        <v>4.3478260869565215</v>
      </c>
      <c r="H24" s="4">
        <f t="shared" si="17"/>
        <v>23.75</v>
      </c>
      <c r="I24" s="5">
        <f t="shared" si="4"/>
        <v>-0.75</v>
      </c>
      <c r="J24" s="5">
        <f t="shared" si="5"/>
        <v>0.75</v>
      </c>
      <c r="K24" s="5">
        <f t="shared" si="6"/>
        <v>0.5625</v>
      </c>
      <c r="L24" s="5">
        <f t="shared" si="7"/>
        <v>3.2608695652173911</v>
      </c>
      <c r="M24" s="4">
        <f t="shared" si="18"/>
        <v>23.8</v>
      </c>
      <c r="N24" s="5">
        <f t="shared" si="8"/>
        <v>-0.80000000000000071</v>
      </c>
      <c r="O24" s="5">
        <f t="shared" si="9"/>
        <v>0.80000000000000071</v>
      </c>
      <c r="P24" s="5">
        <f t="shared" si="10"/>
        <v>0.64000000000000112</v>
      </c>
      <c r="Q24" s="5">
        <f t="shared" si="11"/>
        <v>3.4782608695652204</v>
      </c>
      <c r="R24" s="4">
        <f t="shared" si="16"/>
        <v>23.578884124755859</v>
      </c>
      <c r="S24" s="5">
        <f t="shared" si="12"/>
        <v>-0.57888412475585938</v>
      </c>
      <c r="T24" s="5">
        <v>0.57888412475585938</v>
      </c>
      <c r="U24" s="5">
        <f t="shared" si="13"/>
        <v>0.33510682989435736</v>
      </c>
      <c r="V24" s="5">
        <f t="shared" si="14"/>
        <v>2.516887498938519</v>
      </c>
    </row>
    <row r="25" spans="1:22" ht="16" x14ac:dyDescent="0.2">
      <c r="A25" s="2">
        <v>24</v>
      </c>
      <c r="B25" s="2">
        <v>24</v>
      </c>
      <c r="C25" s="4">
        <f t="shared" si="15"/>
        <v>23.333333333333332</v>
      </c>
      <c r="D25" s="5">
        <f t="shared" si="0"/>
        <v>0.66666666666666785</v>
      </c>
      <c r="E25" s="5">
        <f t="shared" si="1"/>
        <v>0.66666666666666785</v>
      </c>
      <c r="F25" s="5">
        <f t="shared" si="2"/>
        <v>0.44444444444444603</v>
      </c>
      <c r="G25" s="5">
        <f t="shared" si="3"/>
        <v>2.777777777777783</v>
      </c>
      <c r="H25" s="4">
        <f t="shared" si="17"/>
        <v>24</v>
      </c>
      <c r="I25" s="5">
        <f t="shared" si="4"/>
        <v>0</v>
      </c>
      <c r="J25" s="5">
        <f t="shared" si="5"/>
        <v>0</v>
      </c>
      <c r="K25" s="5">
        <f t="shared" si="6"/>
        <v>0</v>
      </c>
      <c r="L25" s="5">
        <f t="shared" si="7"/>
        <v>0</v>
      </c>
      <c r="M25" s="4">
        <f t="shared" si="18"/>
        <v>23.8</v>
      </c>
      <c r="N25" s="5">
        <f t="shared" si="8"/>
        <v>0.19999999999999929</v>
      </c>
      <c r="O25" s="5">
        <f t="shared" si="9"/>
        <v>0.19999999999999929</v>
      </c>
      <c r="P25" s="5">
        <f t="shared" si="10"/>
        <v>3.9999999999999716E-2</v>
      </c>
      <c r="Q25" s="5">
        <f t="shared" si="11"/>
        <v>0.83333333333333037</v>
      </c>
      <c r="R25" s="4">
        <f t="shared" si="16"/>
        <v>23.28944206237793</v>
      </c>
      <c r="S25" s="5">
        <f t="shared" si="12"/>
        <v>0.71055793762207031</v>
      </c>
      <c r="T25" s="5">
        <v>0.71055793762207031</v>
      </c>
      <c r="U25" s="5">
        <f t="shared" si="13"/>
        <v>0.50489258271772997</v>
      </c>
      <c r="V25" s="5">
        <f t="shared" si="14"/>
        <v>2.960658073425293</v>
      </c>
    </row>
    <row r="26" spans="1:22" ht="16" x14ac:dyDescent="0.2">
      <c r="A26" s="2">
        <v>25</v>
      </c>
      <c r="B26" s="2">
        <v>20</v>
      </c>
      <c r="C26" s="4">
        <f t="shared" si="15"/>
        <v>22.333333333333332</v>
      </c>
      <c r="D26" s="5">
        <f t="shared" si="0"/>
        <v>-2.3333333333333321</v>
      </c>
      <c r="E26" s="5">
        <f t="shared" si="1"/>
        <v>2.3333333333333321</v>
      </c>
      <c r="F26" s="5">
        <f t="shared" si="2"/>
        <v>5.4444444444444393</v>
      </c>
      <c r="G26" s="5">
        <f t="shared" si="3"/>
        <v>11.666666666666661</v>
      </c>
      <c r="H26" s="4">
        <f t="shared" si="17"/>
        <v>22.5</v>
      </c>
      <c r="I26" s="5">
        <f t="shared" si="4"/>
        <v>-2.5</v>
      </c>
      <c r="J26" s="5">
        <f t="shared" si="5"/>
        <v>2.5</v>
      </c>
      <c r="K26" s="5">
        <f t="shared" si="6"/>
        <v>6.25</v>
      </c>
      <c r="L26" s="5">
        <f t="shared" si="7"/>
        <v>12.5</v>
      </c>
      <c r="M26" s="4">
        <f t="shared" si="18"/>
        <v>23.2</v>
      </c>
      <c r="N26" s="5">
        <f t="shared" si="8"/>
        <v>-3.1999999999999993</v>
      </c>
      <c r="O26" s="5">
        <f t="shared" si="9"/>
        <v>3.1999999999999993</v>
      </c>
      <c r="P26" s="5">
        <f t="shared" si="10"/>
        <v>10.239999999999995</v>
      </c>
      <c r="Q26" s="5">
        <f t="shared" si="11"/>
        <v>15.999999999999998</v>
      </c>
      <c r="R26" s="4">
        <f t="shared" si="16"/>
        <v>23.644721031188965</v>
      </c>
      <c r="S26" s="5">
        <f t="shared" si="12"/>
        <v>-3.6447210311889648</v>
      </c>
      <c r="T26" s="5">
        <v>3.6447210311889648</v>
      </c>
      <c r="U26" s="5">
        <f t="shared" si="13"/>
        <v>13.283991395191151</v>
      </c>
      <c r="V26" s="5">
        <f t="shared" si="14"/>
        <v>18.223605155944824</v>
      </c>
    </row>
    <row r="27" spans="1:22" ht="16" x14ac:dyDescent="0.2">
      <c r="A27" s="2">
        <v>26</v>
      </c>
      <c r="B27" s="2">
        <v>20</v>
      </c>
      <c r="C27" s="4">
        <f t="shared" si="15"/>
        <v>21.333333333333332</v>
      </c>
      <c r="D27" s="5">
        <f t="shared" si="0"/>
        <v>-1.3333333333333321</v>
      </c>
      <c r="E27" s="5">
        <f t="shared" si="1"/>
        <v>1.3333333333333321</v>
      </c>
      <c r="F27" s="5">
        <f t="shared" si="2"/>
        <v>1.7777777777777746</v>
      </c>
      <c r="G27" s="5">
        <f t="shared" si="3"/>
        <v>6.6666666666666607</v>
      </c>
      <c r="H27" s="4">
        <f t="shared" si="17"/>
        <v>21.75</v>
      </c>
      <c r="I27" s="5">
        <f t="shared" si="4"/>
        <v>-1.75</v>
      </c>
      <c r="J27" s="5">
        <f t="shared" si="5"/>
        <v>1.75</v>
      </c>
      <c r="K27" s="5">
        <f t="shared" si="6"/>
        <v>3.0625</v>
      </c>
      <c r="L27" s="5">
        <f t="shared" si="7"/>
        <v>8.75</v>
      </c>
      <c r="M27" s="4">
        <f t="shared" si="18"/>
        <v>22</v>
      </c>
      <c r="N27" s="5">
        <f t="shared" si="8"/>
        <v>-2</v>
      </c>
      <c r="O27" s="5">
        <f t="shared" si="9"/>
        <v>2</v>
      </c>
      <c r="P27" s="5">
        <f t="shared" si="10"/>
        <v>4</v>
      </c>
      <c r="Q27" s="5">
        <f t="shared" si="11"/>
        <v>10</v>
      </c>
      <c r="R27" s="4">
        <f t="shared" si="16"/>
        <v>21.822360515594482</v>
      </c>
      <c r="S27" s="5">
        <f t="shared" si="12"/>
        <v>-1.8223605155944824</v>
      </c>
      <c r="T27" s="5">
        <v>1.8223605155944824</v>
      </c>
      <c r="U27" s="5">
        <f t="shared" si="13"/>
        <v>3.3209978487977878</v>
      </c>
      <c r="V27" s="5">
        <f t="shared" si="14"/>
        <v>9.1118025779724121</v>
      </c>
    </row>
    <row r="28" spans="1:22" ht="16" x14ac:dyDescent="0.2">
      <c r="A28" s="2">
        <v>27</v>
      </c>
      <c r="B28" s="2">
        <v>15</v>
      </c>
      <c r="C28" s="4">
        <f t="shared" si="15"/>
        <v>18.333333333333332</v>
      </c>
      <c r="D28" s="5">
        <f t="shared" si="0"/>
        <v>-3.3333333333333321</v>
      </c>
      <c r="E28" s="5">
        <f t="shared" si="1"/>
        <v>3.3333333333333321</v>
      </c>
      <c r="F28" s="5">
        <f t="shared" si="2"/>
        <v>11.111111111111104</v>
      </c>
      <c r="G28" s="5">
        <f t="shared" si="3"/>
        <v>22.222222222222214</v>
      </c>
      <c r="H28" s="4">
        <f t="shared" si="17"/>
        <v>19.75</v>
      </c>
      <c r="I28" s="5">
        <f t="shared" si="4"/>
        <v>-4.75</v>
      </c>
      <c r="J28" s="5">
        <f t="shared" si="5"/>
        <v>4.75</v>
      </c>
      <c r="K28" s="5">
        <f t="shared" si="6"/>
        <v>22.5625</v>
      </c>
      <c r="L28" s="5">
        <f t="shared" si="7"/>
        <v>31.666666666666664</v>
      </c>
      <c r="M28" s="4">
        <f t="shared" si="18"/>
        <v>20.399999999999999</v>
      </c>
      <c r="N28" s="5">
        <f t="shared" si="8"/>
        <v>-5.3999999999999986</v>
      </c>
      <c r="O28" s="5">
        <f t="shared" si="9"/>
        <v>5.3999999999999986</v>
      </c>
      <c r="P28" s="5">
        <f t="shared" si="10"/>
        <v>29.159999999999986</v>
      </c>
      <c r="Q28" s="5">
        <f t="shared" si="11"/>
        <v>35.999999999999993</v>
      </c>
      <c r="R28" s="4">
        <f t="shared" si="16"/>
        <v>20.911180257797241</v>
      </c>
      <c r="S28" s="5">
        <f t="shared" si="12"/>
        <v>-5.9111802577972412</v>
      </c>
      <c r="T28" s="5">
        <v>5.9111802577972412</v>
      </c>
      <c r="U28" s="5">
        <f t="shared" si="13"/>
        <v>34.942052040171859</v>
      </c>
      <c r="V28" s="5">
        <f t="shared" si="14"/>
        <v>39.407868385314941</v>
      </c>
    </row>
    <row r="29" spans="1:22" ht="16" x14ac:dyDescent="0.2">
      <c r="A29" s="2">
        <v>28</v>
      </c>
      <c r="B29" s="2">
        <v>20</v>
      </c>
      <c r="C29" s="4">
        <f t="shared" si="15"/>
        <v>18.333333333333332</v>
      </c>
      <c r="D29" s="5">
        <f t="shared" si="0"/>
        <v>1.6666666666666679</v>
      </c>
      <c r="E29" s="5">
        <f t="shared" si="1"/>
        <v>1.6666666666666679</v>
      </c>
      <c r="F29" s="5">
        <f t="shared" si="2"/>
        <v>2.7777777777777817</v>
      </c>
      <c r="G29" s="5">
        <f t="shared" si="3"/>
        <v>8.3333333333333393</v>
      </c>
      <c r="H29" s="4">
        <f t="shared" si="17"/>
        <v>18.75</v>
      </c>
      <c r="I29" s="5">
        <f t="shared" si="4"/>
        <v>1.25</v>
      </c>
      <c r="J29" s="5">
        <f t="shared" si="5"/>
        <v>1.25</v>
      </c>
      <c r="K29" s="5">
        <f t="shared" si="6"/>
        <v>1.5625</v>
      </c>
      <c r="L29" s="5">
        <f t="shared" si="7"/>
        <v>6.25</v>
      </c>
      <c r="M29" s="4">
        <f t="shared" si="18"/>
        <v>19.8</v>
      </c>
      <c r="N29" s="5">
        <f t="shared" si="8"/>
        <v>0.19999999999999929</v>
      </c>
      <c r="O29" s="5">
        <f t="shared" si="9"/>
        <v>0.19999999999999929</v>
      </c>
      <c r="P29" s="5">
        <f t="shared" si="10"/>
        <v>3.9999999999999716E-2</v>
      </c>
      <c r="Q29" s="5">
        <f t="shared" si="11"/>
        <v>0.99999999999999634</v>
      </c>
      <c r="R29" s="4">
        <f t="shared" si="16"/>
        <v>17.955590128898621</v>
      </c>
      <c r="S29" s="5">
        <f t="shared" si="12"/>
        <v>2.0444098711013794</v>
      </c>
      <c r="T29" s="5">
        <v>2.0444098711013794</v>
      </c>
      <c r="U29" s="5">
        <f t="shared" si="13"/>
        <v>4.1796117210567587</v>
      </c>
      <c r="V29" s="5">
        <f t="shared" si="14"/>
        <v>10.222049355506897</v>
      </c>
    </row>
    <row r="30" spans="1:22" ht="16" x14ac:dyDescent="0.2">
      <c r="A30" s="2">
        <v>29</v>
      </c>
      <c r="B30" s="2">
        <v>17</v>
      </c>
      <c r="C30" s="4">
        <f t="shared" si="15"/>
        <v>17.333333333333332</v>
      </c>
      <c r="D30" s="5">
        <f t="shared" si="0"/>
        <v>-0.33333333333333215</v>
      </c>
      <c r="E30" s="5">
        <f t="shared" si="1"/>
        <v>0.33333333333333215</v>
      </c>
      <c r="F30" s="5">
        <f t="shared" si="2"/>
        <v>0.11111111111111033</v>
      </c>
      <c r="G30" s="5">
        <f t="shared" si="3"/>
        <v>1.9607843137254832</v>
      </c>
      <c r="H30" s="4">
        <f t="shared" si="17"/>
        <v>18</v>
      </c>
      <c r="I30" s="5">
        <f t="shared" si="4"/>
        <v>-1</v>
      </c>
      <c r="J30" s="5">
        <f t="shared" si="5"/>
        <v>1</v>
      </c>
      <c r="K30" s="5">
        <f t="shared" si="6"/>
        <v>1</v>
      </c>
      <c r="L30" s="5">
        <f t="shared" si="7"/>
        <v>5.8823529411764701</v>
      </c>
      <c r="M30" s="4">
        <f t="shared" si="18"/>
        <v>18.399999999999999</v>
      </c>
      <c r="N30" s="5">
        <f t="shared" si="8"/>
        <v>-1.3999999999999986</v>
      </c>
      <c r="O30" s="5">
        <f t="shared" si="9"/>
        <v>1.3999999999999986</v>
      </c>
      <c r="P30" s="5">
        <f t="shared" si="10"/>
        <v>1.959999999999996</v>
      </c>
      <c r="Q30" s="5">
        <f t="shared" si="11"/>
        <v>8.2352941176470509</v>
      </c>
      <c r="R30" s="4">
        <f t="shared" si="16"/>
        <v>18.97779506444931</v>
      </c>
      <c r="S30" s="5">
        <f t="shared" si="12"/>
        <v>-1.9777950644493103</v>
      </c>
      <c r="T30" s="5">
        <v>1.9777950644493103</v>
      </c>
      <c r="U30" s="5">
        <f t="shared" si="13"/>
        <v>3.9116733169600515</v>
      </c>
      <c r="V30" s="5">
        <f t="shared" si="14"/>
        <v>11.634088614407707</v>
      </c>
    </row>
    <row r="31" spans="1:22" x14ac:dyDescent="0.2">
      <c r="E31">
        <f>AVERAGE(E4:E30)</f>
        <v>1.6913580246913578</v>
      </c>
      <c r="F31">
        <f>AVERAGE(F4:F30)</f>
        <v>4.1275720164609062</v>
      </c>
      <c r="G31">
        <f>AVERAGE(G4:G30)</f>
        <v>8.7871384322790984</v>
      </c>
      <c r="H31" s="4"/>
      <c r="I31" s="5"/>
      <c r="J31" s="5">
        <f>AVERAGE(J5:J30)</f>
        <v>1.8846153846153846</v>
      </c>
      <c r="K31" s="5">
        <f>AVERAGE(K5:K30)</f>
        <v>5.4086538461538458</v>
      </c>
      <c r="L31" s="5">
        <f>AVERAGE(L5:L30)</f>
        <v>9.7609233223658745</v>
      </c>
      <c r="O31">
        <f>AVERAGE(O6:O30)</f>
        <v>1.9520000000000002</v>
      </c>
      <c r="P31">
        <f>AVERAGE(P6:P30)</f>
        <v>5.9423999999999992</v>
      </c>
      <c r="Q31">
        <f>AVERAGE(Q6:Q30)</f>
        <v>10.254630873531127</v>
      </c>
      <c r="R31" s="4"/>
      <c r="S31" s="5"/>
      <c r="T31" s="5">
        <f>AVERAGE(T3:T30)</f>
        <v>2.5567759722471237</v>
      </c>
      <c r="U31" s="5">
        <f>AVERAGE(U3:U30)</f>
        <v>9.4967187102635169</v>
      </c>
      <c r="V31" s="5">
        <f>AVERAGE(V3:V30)</f>
        <v>13.192775816976562</v>
      </c>
    </row>
    <row r="32" spans="1:22" x14ac:dyDescent="0.2">
      <c r="E32" s="3" t="s">
        <v>14</v>
      </c>
      <c r="F32" s="3" t="s">
        <v>15</v>
      </c>
      <c r="G32" s="3" t="s">
        <v>13</v>
      </c>
      <c r="J32" s="3" t="s">
        <v>14</v>
      </c>
      <c r="K32" s="3" t="s">
        <v>15</v>
      </c>
      <c r="L32" s="3" t="s">
        <v>13</v>
      </c>
      <c r="O32" s="3" t="s">
        <v>14</v>
      </c>
      <c r="P32" s="3" t="s">
        <v>15</v>
      </c>
      <c r="Q32" s="3" t="s">
        <v>13</v>
      </c>
      <c r="T32" s="3" t="s">
        <v>14</v>
      </c>
      <c r="U32" s="3" t="s">
        <v>15</v>
      </c>
      <c r="V32" s="3" t="s">
        <v>13</v>
      </c>
    </row>
  </sheetData>
  <scenarios current="0">
    <scenario name="minimum alpha" count="1" user="Annabel Mehta" comment="Created by Annabel Mehta on 2/22/2026">
      <inputCells r="W2" val="0"/>
    </scenario>
  </scenario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</dc:creator>
  <cp:lastModifiedBy>Annabel Mehta</cp:lastModifiedBy>
  <dcterms:created xsi:type="dcterms:W3CDTF">2021-04-19T03:52:47Z</dcterms:created>
  <dcterms:modified xsi:type="dcterms:W3CDTF">2026-02-23T03:58:49Z</dcterms:modified>
</cp:coreProperties>
</file>