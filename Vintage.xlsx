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belmehta/Downloads/"/>
    </mc:Choice>
  </mc:AlternateContent>
  <xr:revisionPtr revIDLastSave="0" documentId="13_ncr:1_{1581A228-B7C7-824D-A34E-A4D9E68EF32A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Data" sheetId="1" r:id="rId1"/>
    <sheet name="Regression" sheetId="4" r:id="rId2"/>
    <sheet name="Predictions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F3" i="2"/>
  <c r="F4" i="2"/>
  <c r="F5" i="2"/>
  <c r="F6" i="2"/>
  <c r="F7" i="2"/>
  <c r="F8" i="2"/>
  <c r="F9" i="2"/>
  <c r="F10" i="2"/>
  <c r="F11" i="2"/>
  <c r="F12" i="2"/>
  <c r="F13" i="2"/>
  <c r="F2" i="2"/>
</calcChain>
</file>

<file path=xl/sharedStrings.xml><?xml version="1.0" encoding="utf-8"?>
<sst xmlns="http://schemas.openxmlformats.org/spreadsheetml/2006/main" count="55" uniqueCount="49">
  <si>
    <t>Month</t>
  </si>
  <si>
    <t>Sales</t>
  </si>
  <si>
    <t>Qtr 1</t>
  </si>
  <si>
    <t xml:space="preserve">Qtr 2 </t>
  </si>
  <si>
    <t xml:space="preserve">Qtr 3 </t>
  </si>
  <si>
    <t xml:space="preserve">Period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</si>
  <si>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</si>
  <si>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</si>
  <si>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</si>
  <si>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</si>
  <si>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</si>
  <si>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</si>
  <si>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</si>
  <si>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</si>
  <si>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</si>
  <si>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</si>
  <si>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</si>
  <si>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</si>
  <si>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</si>
  <si>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</si>
  <si>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</si>
  <si>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</si>
  <si>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</si>
  <si>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</si>
  <si>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</si>
  <si>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</si>
  <si>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</si>
  <si>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</si>
  <si>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</si>
  <si>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</si>
  <si>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Year 4 Predictions </t>
  </si>
  <si>
    <t xml:space="preserve">Month </t>
  </si>
  <si>
    <t xml:space="preserve">January </t>
  </si>
  <si>
    <t xml:space="preserve">Feburary </t>
  </si>
  <si>
    <t xml:space="preserve">March </t>
  </si>
  <si>
    <t xml:space="preserve">April </t>
  </si>
  <si>
    <t xml:space="preserve">June </t>
  </si>
  <si>
    <t xml:space="preserve">July </t>
  </si>
  <si>
    <t xml:space="preserve">August </t>
  </si>
  <si>
    <t xml:space="preserve">May </t>
  </si>
  <si>
    <t xml:space="preserve">September </t>
  </si>
  <si>
    <t xml:space="preserve">October </t>
  </si>
  <si>
    <t xml:space="preserve">November </t>
  </si>
  <si>
    <t xml:space="preserve">December </t>
  </si>
  <si>
    <t xml:space="preserve">Qtr 1 </t>
  </si>
  <si>
    <t>Qtr 2</t>
  </si>
  <si>
    <t>Qtr 3</t>
  </si>
  <si>
    <t xml:space="preserve">Actual 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</si>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</sst>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Times New Roman"/>
    </font>
    <font>
      <b/>
      <sz val="12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Data!$A$2:$A$37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Data!$B$2:$B$37</c:f>
              <c:numCache>
                <c:formatCode>General</c:formatCode>
                <c:ptCount val="36"/>
                <c:pt idx="0">
                  <c:v>242</c:v>
                </c:pt>
                <c:pt idx="1">
                  <c:v>235</c:v>
                </c:pt>
                <c:pt idx="2">
                  <c:v>232</c:v>
                </c:pt>
                <c:pt idx="3">
                  <c:v>178</c:v>
                </c:pt>
                <c:pt idx="4">
                  <c:v>184</c:v>
                </c:pt>
                <c:pt idx="5">
                  <c:v>140</c:v>
                </c:pt>
                <c:pt idx="6">
                  <c:v>145</c:v>
                </c:pt>
                <c:pt idx="7">
                  <c:v>152</c:v>
                </c:pt>
                <c:pt idx="8">
                  <c:v>110</c:v>
                </c:pt>
                <c:pt idx="9">
                  <c:v>130</c:v>
                </c:pt>
                <c:pt idx="10">
                  <c:v>152</c:v>
                </c:pt>
                <c:pt idx="11">
                  <c:v>206</c:v>
                </c:pt>
                <c:pt idx="12">
                  <c:v>263</c:v>
                </c:pt>
                <c:pt idx="13">
                  <c:v>238</c:v>
                </c:pt>
                <c:pt idx="14">
                  <c:v>247</c:v>
                </c:pt>
                <c:pt idx="15">
                  <c:v>193</c:v>
                </c:pt>
                <c:pt idx="16">
                  <c:v>193</c:v>
                </c:pt>
                <c:pt idx="17">
                  <c:v>149</c:v>
                </c:pt>
                <c:pt idx="18">
                  <c:v>157</c:v>
                </c:pt>
                <c:pt idx="19">
                  <c:v>161</c:v>
                </c:pt>
                <c:pt idx="20">
                  <c:v>122</c:v>
                </c:pt>
                <c:pt idx="21">
                  <c:v>130</c:v>
                </c:pt>
                <c:pt idx="22">
                  <c:v>167</c:v>
                </c:pt>
                <c:pt idx="23">
                  <c:v>230</c:v>
                </c:pt>
                <c:pt idx="24">
                  <c:v>282</c:v>
                </c:pt>
                <c:pt idx="25">
                  <c:v>255</c:v>
                </c:pt>
                <c:pt idx="26">
                  <c:v>265</c:v>
                </c:pt>
                <c:pt idx="27">
                  <c:v>205</c:v>
                </c:pt>
                <c:pt idx="28">
                  <c:v>210</c:v>
                </c:pt>
                <c:pt idx="29">
                  <c:v>160</c:v>
                </c:pt>
                <c:pt idx="30">
                  <c:v>166</c:v>
                </c:pt>
                <c:pt idx="31">
                  <c:v>174</c:v>
                </c:pt>
                <c:pt idx="32">
                  <c:v>126</c:v>
                </c:pt>
                <c:pt idx="33">
                  <c:v>148</c:v>
                </c:pt>
                <c:pt idx="34">
                  <c:v>173</c:v>
                </c:pt>
                <c:pt idx="35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A-8B43-AB33-097E0D39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33584"/>
        <c:axId val="1593239200"/>
      </c:scatterChart>
      <c:valAx>
        <c:axId val="46583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39200"/>
        <c:crosses val="autoZero"/>
        <c:crossBetween val="midCat"/>
      </c:valAx>
      <c:valAx>
        <c:axId val="15932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3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5</xdr:row>
      <xdr:rowOff>139700</xdr:rowOff>
    </xdr:from>
    <xdr:to>
      <xdr:col>19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29C88-78C0-3978-73D9-4A2DF6FE7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419101</xdr:colOff>
      <xdr:row>23</xdr:row>
      <xdr:rowOff>38100</xdr:rowOff>
    </xdr:from>
    <xdr:ext cx="4368800" cy="9534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04F48C-188A-34AE-ABD9-FB6B79061267}"/>
            </a:ext>
          </a:extLst>
        </xdr:cNvPr>
        <xdr:cNvSpPr txBox="1"/>
      </xdr:nvSpPr>
      <xdr:spPr>
        <a:xfrm>
          <a:off x="7823201" y="4711700"/>
          <a:ext cx="4368800" cy="95346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Looking</a:t>
          </a:r>
          <a:r>
            <a:rPr lang="en-US" sz="1100" baseline="0"/>
            <a:t> at the time series plot above, we can see that there is a seasonal trend in sales for the Vingtage Restaurant because there is a reoccurring pattern of high sales in the first quarter of each year, then decreasing as the year progresses. I also added in a Moving Average trendline to highlight this pattern. 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241300</xdr:colOff>
      <xdr:row>23</xdr:row>
      <xdr:rowOff>0</xdr:rowOff>
    </xdr:from>
    <xdr:ext cx="41402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CF7EC7-8D29-7068-188A-E9CB155600CF}"/>
            </a:ext>
          </a:extLst>
        </xdr:cNvPr>
        <xdr:cNvSpPr txBox="1"/>
      </xdr:nvSpPr>
      <xdr:spPr>
        <a:xfrm>
          <a:off x="1066800" y="4749800"/>
          <a:ext cx="4140200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Equation:</a:t>
          </a:r>
          <a:r>
            <a:rPr lang="en-US" sz="1100" baseline="0"/>
            <a:t> </a:t>
          </a:r>
        </a:p>
        <a:p>
          <a:r>
            <a:rPr lang="en-US" sz="1100" baseline="0"/>
            <a:t>Sales = 151.43 + 85.49 Qtr1 + 10.59 Qtr2 - 25.65 Qtr 3 + 1.01 Period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203201</xdr:colOff>
      <xdr:row>15</xdr:row>
      <xdr:rowOff>63500</xdr:rowOff>
    </xdr:from>
    <xdr:ext cx="5499100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943E1E-6FB4-C3FC-57B3-507F76F2966B}"/>
            </a:ext>
          </a:extLst>
        </xdr:cNvPr>
        <xdr:cNvSpPr txBox="1"/>
      </xdr:nvSpPr>
      <xdr:spPr>
        <a:xfrm>
          <a:off x="876301" y="3111500"/>
          <a:ext cx="5499100" cy="112569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The error</a:t>
          </a:r>
          <a:r>
            <a:rPr lang="en-US" sz="1100" baseline="0"/>
            <a:t> between the actual January sales for Year 4 is $20,710, this is somewhat of a large error. To resolve Karen's uncertainty about the forecasting procedure,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I would explain that  there are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inherent uncertainties in forecasting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explain that no model can predict the future perfectly. I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would also r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eview the factors and assumptions used in this forecasting model,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i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dentify any changes in the market or business environment that could have contributed to the error.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N29" sqref="N29"/>
    </sheetView>
  </sheetViews>
  <sheetFormatPr baseColWidth="10" defaultColWidth="8.83203125" defaultRowHeight="16" x14ac:dyDescent="0.2"/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">
      <c r="A2">
        <v>1</v>
      </c>
      <c r="B2">
        <v>242</v>
      </c>
      <c r="C2">
        <v>1</v>
      </c>
      <c r="D2">
        <v>0</v>
      </c>
      <c r="E2">
        <v>0</v>
      </c>
      <c r="F2">
        <v>1</v>
      </c>
    </row>
    <row r="3" spans="1:6" x14ac:dyDescent="0.2">
      <c r="A3">
        <v>2</v>
      </c>
      <c r="B3">
        <v>235</v>
      </c>
      <c r="C3">
        <v>1</v>
      </c>
      <c r="D3">
        <v>0</v>
      </c>
      <c r="E3">
        <v>0</v>
      </c>
      <c r="F3">
        <v>2</v>
      </c>
    </row>
    <row r="4" spans="1:6" x14ac:dyDescent="0.2">
      <c r="A4">
        <v>3</v>
      </c>
      <c r="B4">
        <v>232</v>
      </c>
      <c r="C4">
        <v>1</v>
      </c>
      <c r="D4">
        <v>0</v>
      </c>
      <c r="E4">
        <v>0</v>
      </c>
      <c r="F4">
        <v>3</v>
      </c>
    </row>
    <row r="5" spans="1:6" x14ac:dyDescent="0.2">
      <c r="A5">
        <v>4</v>
      </c>
      <c r="B5">
        <v>178</v>
      </c>
      <c r="C5">
        <v>0</v>
      </c>
      <c r="D5">
        <v>1</v>
      </c>
      <c r="E5">
        <v>0</v>
      </c>
      <c r="F5">
        <v>4</v>
      </c>
    </row>
    <row r="6" spans="1:6" x14ac:dyDescent="0.2">
      <c r="A6">
        <v>5</v>
      </c>
      <c r="B6">
        <v>184</v>
      </c>
      <c r="C6">
        <v>0</v>
      </c>
      <c r="D6">
        <v>1</v>
      </c>
      <c r="E6">
        <v>0</v>
      </c>
      <c r="F6">
        <v>5</v>
      </c>
    </row>
    <row r="7" spans="1:6" x14ac:dyDescent="0.2">
      <c r="A7">
        <v>6</v>
      </c>
      <c r="B7">
        <v>140</v>
      </c>
      <c r="C7">
        <v>0</v>
      </c>
      <c r="D7">
        <v>1</v>
      </c>
      <c r="E7">
        <v>0</v>
      </c>
      <c r="F7">
        <v>6</v>
      </c>
    </row>
    <row r="8" spans="1:6" x14ac:dyDescent="0.2">
      <c r="A8">
        <v>7</v>
      </c>
      <c r="B8">
        <v>145</v>
      </c>
      <c r="C8">
        <v>0</v>
      </c>
      <c r="D8">
        <v>0</v>
      </c>
      <c r="E8">
        <v>1</v>
      </c>
      <c r="F8">
        <v>7</v>
      </c>
    </row>
    <row r="9" spans="1:6" x14ac:dyDescent="0.2">
      <c r="A9">
        <v>8</v>
      </c>
      <c r="B9">
        <v>152</v>
      </c>
      <c r="C9">
        <v>0</v>
      </c>
      <c r="D9">
        <v>0</v>
      </c>
      <c r="E9">
        <v>1</v>
      </c>
      <c r="F9">
        <v>8</v>
      </c>
    </row>
    <row r="10" spans="1:6" x14ac:dyDescent="0.2">
      <c r="A10">
        <v>9</v>
      </c>
      <c r="B10">
        <v>110</v>
      </c>
      <c r="C10">
        <v>0</v>
      </c>
      <c r="D10">
        <v>0</v>
      </c>
      <c r="E10">
        <v>1</v>
      </c>
      <c r="F10">
        <v>9</v>
      </c>
    </row>
    <row r="11" spans="1:6" x14ac:dyDescent="0.2">
      <c r="A11">
        <v>10</v>
      </c>
      <c r="B11">
        <v>130</v>
      </c>
      <c r="C11">
        <v>0</v>
      </c>
      <c r="D11">
        <v>0</v>
      </c>
      <c r="E11">
        <v>0</v>
      </c>
      <c r="F11">
        <v>10</v>
      </c>
    </row>
    <row r="12" spans="1:6" x14ac:dyDescent="0.2">
      <c r="A12">
        <v>11</v>
      </c>
      <c r="B12">
        <v>152</v>
      </c>
      <c r="C12">
        <v>0</v>
      </c>
      <c r="D12">
        <v>0</v>
      </c>
      <c r="E12">
        <v>0</v>
      </c>
      <c r="F12">
        <v>11</v>
      </c>
    </row>
    <row r="13" spans="1:6" x14ac:dyDescent="0.2">
      <c r="A13">
        <v>12</v>
      </c>
      <c r="B13">
        <v>206</v>
      </c>
      <c r="C13">
        <v>0</v>
      </c>
      <c r="D13">
        <v>0</v>
      </c>
      <c r="E13">
        <v>0</v>
      </c>
      <c r="F13">
        <v>12</v>
      </c>
    </row>
    <row r="14" spans="1:6" x14ac:dyDescent="0.2">
      <c r="A14">
        <v>13</v>
      </c>
      <c r="B14">
        <v>263</v>
      </c>
      <c r="C14">
        <v>1</v>
      </c>
      <c r="D14">
        <v>0</v>
      </c>
      <c r="E14">
        <v>0</v>
      </c>
      <c r="F14">
        <v>13</v>
      </c>
    </row>
    <row r="15" spans="1:6" x14ac:dyDescent="0.2">
      <c r="A15">
        <v>14</v>
      </c>
      <c r="B15">
        <v>238</v>
      </c>
      <c r="C15">
        <v>1</v>
      </c>
      <c r="D15">
        <v>0</v>
      </c>
      <c r="E15">
        <v>0</v>
      </c>
      <c r="F15">
        <v>14</v>
      </c>
    </row>
    <row r="16" spans="1:6" x14ac:dyDescent="0.2">
      <c r="A16">
        <v>15</v>
      </c>
      <c r="B16">
        <v>247</v>
      </c>
      <c r="C16">
        <v>1</v>
      </c>
      <c r="D16">
        <v>0</v>
      </c>
      <c r="E16">
        <v>0</v>
      </c>
      <c r="F16">
        <v>15</v>
      </c>
    </row>
    <row r="17" spans="1:6" x14ac:dyDescent="0.2">
      <c r="A17">
        <v>16</v>
      </c>
      <c r="B17">
        <v>193</v>
      </c>
      <c r="C17">
        <v>0</v>
      </c>
      <c r="D17">
        <v>1</v>
      </c>
      <c r="E17">
        <v>0</v>
      </c>
      <c r="F17">
        <v>16</v>
      </c>
    </row>
    <row r="18" spans="1:6" x14ac:dyDescent="0.2">
      <c r="A18">
        <v>17</v>
      </c>
      <c r="B18">
        <v>193</v>
      </c>
      <c r="C18">
        <v>0</v>
      </c>
      <c r="D18">
        <v>1</v>
      </c>
      <c r="E18">
        <v>0</v>
      </c>
      <c r="F18">
        <v>17</v>
      </c>
    </row>
    <row r="19" spans="1:6" x14ac:dyDescent="0.2">
      <c r="A19">
        <v>18</v>
      </c>
      <c r="B19">
        <v>149</v>
      </c>
      <c r="C19">
        <v>0</v>
      </c>
      <c r="D19">
        <v>1</v>
      </c>
      <c r="E19">
        <v>0</v>
      </c>
      <c r="F19">
        <v>18</v>
      </c>
    </row>
    <row r="20" spans="1:6" x14ac:dyDescent="0.2">
      <c r="A20">
        <v>19</v>
      </c>
      <c r="B20">
        <v>157</v>
      </c>
      <c r="C20">
        <v>0</v>
      </c>
      <c r="D20">
        <v>0</v>
      </c>
      <c r="E20">
        <v>1</v>
      </c>
      <c r="F20">
        <v>19</v>
      </c>
    </row>
    <row r="21" spans="1:6" x14ac:dyDescent="0.2">
      <c r="A21">
        <v>20</v>
      </c>
      <c r="B21">
        <v>161</v>
      </c>
      <c r="C21">
        <v>0</v>
      </c>
      <c r="D21">
        <v>0</v>
      </c>
      <c r="E21">
        <v>1</v>
      </c>
      <c r="F21">
        <v>20</v>
      </c>
    </row>
    <row r="22" spans="1:6" x14ac:dyDescent="0.2">
      <c r="A22">
        <v>21</v>
      </c>
      <c r="B22">
        <v>122</v>
      </c>
      <c r="C22">
        <v>0</v>
      </c>
      <c r="D22">
        <v>0</v>
      </c>
      <c r="E22">
        <v>1</v>
      </c>
      <c r="F22">
        <v>21</v>
      </c>
    </row>
    <row r="23" spans="1:6" x14ac:dyDescent="0.2">
      <c r="A23">
        <v>22</v>
      </c>
      <c r="B23">
        <v>130</v>
      </c>
      <c r="C23">
        <v>0</v>
      </c>
      <c r="D23">
        <v>0</v>
      </c>
      <c r="E23" s="2">
        <v>0</v>
      </c>
      <c r="F23">
        <v>22</v>
      </c>
    </row>
    <row r="24" spans="1:6" x14ac:dyDescent="0.2">
      <c r="A24">
        <v>23</v>
      </c>
      <c r="B24">
        <v>167</v>
      </c>
      <c r="C24">
        <v>0</v>
      </c>
      <c r="D24">
        <v>0</v>
      </c>
      <c r="E24" s="2">
        <v>0</v>
      </c>
      <c r="F24">
        <v>23</v>
      </c>
    </row>
    <row r="25" spans="1:6" x14ac:dyDescent="0.2">
      <c r="A25">
        <v>24</v>
      </c>
      <c r="B25">
        <v>230</v>
      </c>
      <c r="C25">
        <v>0</v>
      </c>
      <c r="D25">
        <v>0</v>
      </c>
      <c r="E25" s="2">
        <v>0</v>
      </c>
      <c r="F25">
        <v>24</v>
      </c>
    </row>
    <row r="26" spans="1:6" x14ac:dyDescent="0.2">
      <c r="A26">
        <v>25</v>
      </c>
      <c r="B26">
        <v>282</v>
      </c>
      <c r="C26">
        <v>1</v>
      </c>
      <c r="D26">
        <v>0</v>
      </c>
      <c r="E26" s="2">
        <v>0</v>
      </c>
      <c r="F26">
        <v>25</v>
      </c>
    </row>
    <row r="27" spans="1:6" x14ac:dyDescent="0.2">
      <c r="A27">
        <v>26</v>
      </c>
      <c r="B27">
        <v>255</v>
      </c>
      <c r="C27">
        <v>1</v>
      </c>
      <c r="D27">
        <v>0</v>
      </c>
      <c r="E27" s="2">
        <v>0</v>
      </c>
      <c r="F27">
        <v>26</v>
      </c>
    </row>
    <row r="28" spans="1:6" x14ac:dyDescent="0.2">
      <c r="A28">
        <v>27</v>
      </c>
      <c r="B28">
        <v>265</v>
      </c>
      <c r="C28">
        <v>1</v>
      </c>
      <c r="D28">
        <v>0</v>
      </c>
      <c r="E28" s="2">
        <v>0</v>
      </c>
      <c r="F28">
        <v>27</v>
      </c>
    </row>
    <row r="29" spans="1:6" x14ac:dyDescent="0.2">
      <c r="A29">
        <v>28</v>
      </c>
      <c r="B29">
        <v>205</v>
      </c>
      <c r="C29">
        <v>0</v>
      </c>
      <c r="D29">
        <v>1</v>
      </c>
      <c r="E29" s="2">
        <v>0</v>
      </c>
      <c r="F29">
        <v>28</v>
      </c>
    </row>
    <row r="30" spans="1:6" x14ac:dyDescent="0.2">
      <c r="A30">
        <v>29</v>
      </c>
      <c r="B30">
        <v>210</v>
      </c>
      <c r="C30">
        <v>0</v>
      </c>
      <c r="D30">
        <v>1</v>
      </c>
      <c r="E30" s="2">
        <v>0</v>
      </c>
      <c r="F30">
        <v>29</v>
      </c>
    </row>
    <row r="31" spans="1:6" x14ac:dyDescent="0.2">
      <c r="A31">
        <v>30</v>
      </c>
      <c r="B31">
        <v>160</v>
      </c>
      <c r="C31">
        <v>0</v>
      </c>
      <c r="D31">
        <v>1</v>
      </c>
      <c r="E31" s="2">
        <v>0</v>
      </c>
      <c r="F31">
        <v>30</v>
      </c>
    </row>
    <row r="32" spans="1:6" x14ac:dyDescent="0.2">
      <c r="A32">
        <v>31</v>
      </c>
      <c r="B32">
        <v>166</v>
      </c>
      <c r="C32">
        <v>0</v>
      </c>
      <c r="D32">
        <v>0</v>
      </c>
      <c r="E32" s="2">
        <v>1</v>
      </c>
      <c r="F32">
        <v>31</v>
      </c>
    </row>
    <row r="33" spans="1:6" x14ac:dyDescent="0.2">
      <c r="A33">
        <v>32</v>
      </c>
      <c r="B33">
        <v>174</v>
      </c>
      <c r="C33">
        <v>0</v>
      </c>
      <c r="D33">
        <v>0</v>
      </c>
      <c r="E33" s="2">
        <v>1</v>
      </c>
      <c r="F33">
        <v>32</v>
      </c>
    </row>
    <row r="34" spans="1:6" x14ac:dyDescent="0.2">
      <c r="A34">
        <v>33</v>
      </c>
      <c r="B34">
        <v>126</v>
      </c>
      <c r="C34">
        <v>0</v>
      </c>
      <c r="D34">
        <v>0</v>
      </c>
      <c r="E34" s="2">
        <v>1</v>
      </c>
      <c r="F34">
        <v>33</v>
      </c>
    </row>
    <row r="35" spans="1:6" x14ac:dyDescent="0.2">
      <c r="A35">
        <v>34</v>
      </c>
      <c r="B35">
        <v>148</v>
      </c>
      <c r="C35">
        <v>0</v>
      </c>
      <c r="D35">
        <v>0</v>
      </c>
      <c r="E35" s="2">
        <v>0</v>
      </c>
      <c r="F35">
        <v>34</v>
      </c>
    </row>
    <row r="36" spans="1:6" x14ac:dyDescent="0.2">
      <c r="A36">
        <v>35</v>
      </c>
      <c r="B36">
        <v>173</v>
      </c>
      <c r="C36">
        <v>0</v>
      </c>
      <c r="D36">
        <v>0</v>
      </c>
      <c r="E36" s="2">
        <v>0</v>
      </c>
      <c r="F36">
        <v>35</v>
      </c>
    </row>
    <row r="37" spans="1:6" x14ac:dyDescent="0.2">
      <c r="A37">
        <v>36</v>
      </c>
      <c r="B37">
        <v>235</v>
      </c>
      <c r="C37">
        <v>0</v>
      </c>
      <c r="D37">
        <v>0</v>
      </c>
      <c r="E37" s="2">
        <v>0</v>
      </c>
      <c r="F37">
        <v>36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1AF2-665A-284B-9867-3A91EB6BCEDE}">
  <dimension ref="A1:J21"/>
  <sheetViews>
    <sheetView workbookViewId="0">
      <selection activeCell="B27" sqref="B27"/>
    </sheetView>
  </sheetViews>
  <sheetFormatPr baseColWidth="10" defaultRowHeight="16" x14ac:dyDescent="0.2"/>
  <cols>
    <col min="13" max="13" width="16.1640625" customWidth="1"/>
  </cols>
  <sheetData>
    <row r="1" spans="1:10" x14ac:dyDescent="0.2">
      <c r="A1" t="s">
        <v>6</v>
      </c>
    </row>
    <row r="2" spans="1:10" ht="17" thickBot="1" x14ac:dyDescent="0.25"/>
    <row r="3" spans="1:10" x14ac:dyDescent="0.2">
      <c r="A3" s="6" t="s">
        <v>7</v>
      </c>
      <c r="B3" s="6"/>
    </row>
    <row r="4" spans="1:10" x14ac:dyDescent="0.2">
      <c r="A4" s="3" t="s">
        <v>8</v>
      </c>
      <c r="B4" s="3">
        <v>0.85965881330514082</v>
      </c>
    </row>
    <row r="5" spans="1:10" x14ac:dyDescent="0.2">
      <c r="A5" s="3" t="s">
        <v>9</v>
      </c>
      <c r="B5" s="3">
        <v>0.73901327529320293</v>
      </c>
    </row>
    <row r="6" spans="1:10" x14ac:dyDescent="0.2">
      <c r="A6" s="3" t="s">
        <v>10</v>
      </c>
      <c r="B6" s="3">
        <v>0.70533756887942267</v>
      </c>
    </row>
    <row r="7" spans="1:10" x14ac:dyDescent="0.2">
      <c r="A7" s="3" t="s">
        <v>11</v>
      </c>
      <c r="B7" s="3">
        <v>25.601093893191241</v>
      </c>
    </row>
    <row r="8" spans="1:10" ht="17" thickBot="1" x14ac:dyDescent="0.25">
      <c r="A8" s="4" t="s">
        <v>12</v>
      </c>
      <c r="B8" s="4">
        <v>36</v>
      </c>
    </row>
    <row r="10" spans="1:10" ht="17" thickBot="1" x14ac:dyDescent="0.25">
      <c r="A10" t="s">
        <v>13</v>
      </c>
    </row>
    <row r="11" spans="1:10" x14ac:dyDescent="0.2">
      <c r="A11" s="5"/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</row>
    <row r="12" spans="1:10" x14ac:dyDescent="0.2">
      <c r="A12" s="3" t="s">
        <v>14</v>
      </c>
      <c r="B12" s="3">
        <v>4</v>
      </c>
      <c r="C12" s="3">
        <v>57532.409291187738</v>
      </c>
      <c r="D12" s="3">
        <v>14383.102322796934</v>
      </c>
      <c r="E12" s="3">
        <v>21.944996972381109</v>
      </c>
      <c r="F12" s="3">
        <v>1.1295850562767536E-8</v>
      </c>
    </row>
    <row r="13" spans="1:10" x14ac:dyDescent="0.2">
      <c r="A13" s="3" t="s">
        <v>15</v>
      </c>
      <c r="B13" s="3">
        <v>31</v>
      </c>
      <c r="C13" s="3">
        <v>20317.896264367806</v>
      </c>
      <c r="D13" s="3">
        <v>655.41600852799377</v>
      </c>
      <c r="E13" s="3"/>
      <c r="F13" s="3"/>
    </row>
    <row r="14" spans="1:10" ht="17" thickBot="1" x14ac:dyDescent="0.25">
      <c r="A14" s="4" t="s">
        <v>16</v>
      </c>
      <c r="B14" s="4">
        <v>35</v>
      </c>
      <c r="C14" s="4">
        <v>77850.305555555547</v>
      </c>
      <c r="D14" s="4"/>
      <c r="E14" s="4"/>
      <c r="F14" s="4"/>
    </row>
    <row r="15" spans="1:10" ht="17" thickBot="1" x14ac:dyDescent="0.25"/>
    <row r="16" spans="1:10" x14ac:dyDescent="0.2">
      <c r="A16" s="5"/>
      <c r="B16" s="5" t="s">
        <v>23</v>
      </c>
      <c r="C16" s="5" t="s">
        <v>11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29</v>
      </c>
      <c r="J16" s="7"/>
    </row>
    <row r="17" spans="1:10" x14ac:dyDescent="0.2">
      <c r="A17" s="3" t="s">
        <v>17</v>
      </c>
      <c r="B17" s="3">
        <v>151.42998084291199</v>
      </c>
      <c r="C17" s="3">
        <v>13.132203461763352</v>
      </c>
      <c r="D17" s="3">
        <v>11.531193625184539</v>
      </c>
      <c r="E17" s="3">
        <v>9.606535500018991E-13</v>
      </c>
      <c r="F17" s="3">
        <v>124.64667530183209</v>
      </c>
      <c r="G17" s="3">
        <v>178.21328638399171</v>
      </c>
      <c r="H17" s="3">
        <v>124.64667530183209</v>
      </c>
      <c r="I17" s="3">
        <v>178.21328638399171</v>
      </c>
      <c r="J17" s="3"/>
    </row>
    <row r="18" spans="1:10" x14ac:dyDescent="0.2">
      <c r="A18" s="3" t="s">
        <v>2</v>
      </c>
      <c r="B18" s="3">
        <v>85.493582375478937</v>
      </c>
      <c r="C18" s="3">
        <v>12.6847693911793</v>
      </c>
      <c r="D18" s="3">
        <v>6.7398609891110226</v>
      </c>
      <c r="E18" s="3">
        <v>1.5241785603531113E-7</v>
      </c>
      <c r="F18" s="3">
        <v>59.622824637731178</v>
      </c>
      <c r="G18" s="3">
        <v>111.3643401132267</v>
      </c>
      <c r="H18" s="3">
        <v>59.622824637731178</v>
      </c>
      <c r="I18" s="3">
        <v>111.3643401132267</v>
      </c>
      <c r="J18" s="3"/>
    </row>
    <row r="19" spans="1:10" x14ac:dyDescent="0.2">
      <c r="A19" s="3" t="s">
        <v>3</v>
      </c>
      <c r="B19" s="3">
        <v>10.588314176245202</v>
      </c>
      <c r="C19" s="3">
        <v>12.346180279769598</v>
      </c>
      <c r="D19" s="3">
        <v>0.85761862667720568</v>
      </c>
      <c r="E19" s="3">
        <v>0.39768520339577096</v>
      </c>
      <c r="F19" s="3">
        <v>-14.591886515979063</v>
      </c>
      <c r="G19" s="3">
        <v>35.768514868469467</v>
      </c>
      <c r="H19" s="3">
        <v>-14.591886515979063</v>
      </c>
      <c r="I19" s="3">
        <v>35.768514868469467</v>
      </c>
      <c r="J19" s="3"/>
    </row>
    <row r="20" spans="1:10" x14ac:dyDescent="0.2">
      <c r="A20" s="3" t="s">
        <v>4</v>
      </c>
      <c r="B20" s="3">
        <v>-25.650287356321833</v>
      </c>
      <c r="C20" s="3">
        <v>12.138494276329133</v>
      </c>
      <c r="D20" s="3">
        <v>-2.1131358447267705</v>
      </c>
      <c r="E20" s="3">
        <v>4.2740099758812641E-2</v>
      </c>
      <c r="F20" s="3">
        <v>-50.406909651900939</v>
      </c>
      <c r="G20" s="3">
        <v>-0.89366506074272722</v>
      </c>
      <c r="H20" s="3">
        <v>-50.406909651900939</v>
      </c>
      <c r="I20" s="3">
        <v>-0.89366506074272722</v>
      </c>
      <c r="J20" s="3"/>
    </row>
    <row r="21" spans="1:10" ht="17" thickBot="1" x14ac:dyDescent="0.25">
      <c r="A21" s="4" t="s">
        <v>5</v>
      </c>
      <c r="B21" s="4">
        <v>1.0054597701149428</v>
      </c>
      <c r="C21" s="4">
        <v>0.43397918554356468</v>
      </c>
      <c r="D21" s="4">
        <v>2.3168386955139129</v>
      </c>
      <c r="E21" s="4">
        <v>2.7289335513725536E-2</v>
      </c>
      <c r="F21" s="4">
        <v>0.12035338574268091</v>
      </c>
      <c r="G21" s="4">
        <v>1.8905661544872048</v>
      </c>
      <c r="H21" s="4">
        <v>0.12035338574268091</v>
      </c>
      <c r="I21" s="4">
        <v>1.8905661544872048</v>
      </c>
      <c r="J21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25" sqref="F25"/>
    </sheetView>
  </sheetViews>
  <sheetFormatPr baseColWidth="10" defaultColWidth="8.83203125" defaultRowHeight="16" x14ac:dyDescent="0.2"/>
  <cols>
    <col min="6" max="6" width="17.5" bestFit="1" customWidth="1"/>
    <col min="11" max="11" width="8.83203125" customWidth="1"/>
  </cols>
  <sheetData>
    <row r="1" spans="1:8" x14ac:dyDescent="0.2">
      <c r="A1" s="8" t="s">
        <v>31</v>
      </c>
      <c r="B1" s="8" t="s">
        <v>5</v>
      </c>
      <c r="C1" s="8" t="s">
        <v>44</v>
      </c>
      <c r="D1" s="8" t="s">
        <v>45</v>
      </c>
      <c r="E1" s="8" t="s">
        <v>46</v>
      </c>
      <c r="F1" s="8" t="s">
        <v>30</v>
      </c>
      <c r="G1" s="8" t="s">
        <v>47</v>
      </c>
      <c r="H1" s="8" t="s">
        <v>48</v>
      </c>
    </row>
    <row r="2" spans="1:8" x14ac:dyDescent="0.2">
      <c r="A2" s="2" t="s">
        <v>32</v>
      </c>
      <c r="B2" s="2">
        <v>37</v>
      </c>
      <c r="C2" s="2">
        <v>1</v>
      </c>
      <c r="D2" s="2">
        <v>0</v>
      </c>
      <c r="E2" s="2">
        <v>0</v>
      </c>
      <c r="F2" s="2">
        <f>151.43+85.49*(C2)+10.59*(D2)-25.65*(E2)+1.01*(B2)</f>
        <v>274.29000000000002</v>
      </c>
      <c r="G2" s="2">
        <v>295</v>
      </c>
      <c r="H2">
        <f xml:space="preserve"> G2-F2</f>
        <v>20.70999999999998</v>
      </c>
    </row>
    <row r="3" spans="1:8" x14ac:dyDescent="0.2">
      <c r="A3" s="2" t="s">
        <v>33</v>
      </c>
      <c r="B3" s="2">
        <v>38</v>
      </c>
      <c r="C3" s="2">
        <v>1</v>
      </c>
      <c r="D3" s="2">
        <v>0</v>
      </c>
      <c r="E3" s="2">
        <v>0</v>
      </c>
      <c r="F3" s="2">
        <f t="shared" ref="F3:F13" si="0">151.43+85.49*(C3)+10.59*(D3)-25.65*(E3)+1.01*(B3)</f>
        <v>275.3</v>
      </c>
    </row>
    <row r="4" spans="1:8" x14ac:dyDescent="0.2">
      <c r="A4" s="2" t="s">
        <v>34</v>
      </c>
      <c r="B4" s="2">
        <v>39</v>
      </c>
      <c r="C4" s="2">
        <v>1</v>
      </c>
      <c r="D4" s="2">
        <v>0</v>
      </c>
      <c r="E4" s="2">
        <v>0</v>
      </c>
      <c r="F4" s="2">
        <f t="shared" si="0"/>
        <v>276.31</v>
      </c>
    </row>
    <row r="5" spans="1:8" x14ac:dyDescent="0.2">
      <c r="A5" s="2" t="s">
        <v>35</v>
      </c>
      <c r="B5" s="2">
        <v>40</v>
      </c>
      <c r="C5" s="2">
        <v>0</v>
      </c>
      <c r="D5" s="2">
        <v>1</v>
      </c>
      <c r="E5" s="2">
        <v>0</v>
      </c>
      <c r="F5" s="2">
        <f t="shared" si="0"/>
        <v>202.42000000000002</v>
      </c>
    </row>
    <row r="6" spans="1:8" x14ac:dyDescent="0.2">
      <c r="A6" s="2" t="s">
        <v>39</v>
      </c>
      <c r="B6" s="2">
        <v>41</v>
      </c>
      <c r="C6" s="2">
        <v>0</v>
      </c>
      <c r="D6" s="2">
        <v>1</v>
      </c>
      <c r="E6" s="2">
        <v>0</v>
      </c>
      <c r="F6" s="2">
        <f t="shared" si="0"/>
        <v>203.43</v>
      </c>
    </row>
    <row r="7" spans="1:8" x14ac:dyDescent="0.2">
      <c r="A7" s="2" t="s">
        <v>36</v>
      </c>
      <c r="B7" s="2">
        <v>42</v>
      </c>
      <c r="C7" s="2">
        <v>0</v>
      </c>
      <c r="D7" s="2">
        <v>1</v>
      </c>
      <c r="E7" s="2">
        <v>0</v>
      </c>
      <c r="F7" s="2">
        <f t="shared" si="0"/>
        <v>204.44</v>
      </c>
    </row>
    <row r="8" spans="1:8" x14ac:dyDescent="0.2">
      <c r="A8" s="2" t="s">
        <v>37</v>
      </c>
      <c r="B8" s="2">
        <v>43</v>
      </c>
      <c r="C8" s="2">
        <v>0</v>
      </c>
      <c r="D8" s="2">
        <v>0</v>
      </c>
      <c r="E8" s="2">
        <v>1</v>
      </c>
      <c r="F8" s="2">
        <f t="shared" si="0"/>
        <v>169.21</v>
      </c>
    </row>
    <row r="9" spans="1:8" x14ac:dyDescent="0.2">
      <c r="A9" s="2" t="s">
        <v>38</v>
      </c>
      <c r="B9" s="2">
        <v>44</v>
      </c>
      <c r="C9" s="2">
        <v>0</v>
      </c>
      <c r="D9" s="2">
        <v>0</v>
      </c>
      <c r="E9" s="2">
        <v>1</v>
      </c>
      <c r="F9" s="2">
        <f t="shared" si="0"/>
        <v>170.22</v>
      </c>
    </row>
    <row r="10" spans="1:8" x14ac:dyDescent="0.2">
      <c r="A10" s="2" t="s">
        <v>40</v>
      </c>
      <c r="B10" s="2">
        <v>45</v>
      </c>
      <c r="C10" s="2">
        <v>0</v>
      </c>
      <c r="D10" s="2">
        <v>0</v>
      </c>
      <c r="E10" s="2">
        <v>1</v>
      </c>
      <c r="F10" s="2">
        <f t="shared" si="0"/>
        <v>171.23000000000002</v>
      </c>
    </row>
    <row r="11" spans="1:8" x14ac:dyDescent="0.2">
      <c r="A11" s="2" t="s">
        <v>41</v>
      </c>
      <c r="B11" s="2">
        <v>46</v>
      </c>
      <c r="C11" s="2">
        <v>0</v>
      </c>
      <c r="D11" s="2">
        <v>0</v>
      </c>
      <c r="E11" s="2">
        <v>0</v>
      </c>
      <c r="F11" s="2">
        <f t="shared" si="0"/>
        <v>197.89000000000001</v>
      </c>
    </row>
    <row r="12" spans="1:8" x14ac:dyDescent="0.2">
      <c r="A12" s="2" t="s">
        <v>42</v>
      </c>
      <c r="B12" s="2">
        <v>47</v>
      </c>
      <c r="C12" s="2">
        <v>0</v>
      </c>
      <c r="D12" s="2">
        <v>0</v>
      </c>
      <c r="E12" s="2">
        <v>0</v>
      </c>
      <c r="F12" s="2">
        <f t="shared" si="0"/>
        <v>198.9</v>
      </c>
    </row>
    <row r="13" spans="1:8" x14ac:dyDescent="0.2">
      <c r="A13" s="2" t="s">
        <v>43</v>
      </c>
      <c r="B13" s="2">
        <v>48</v>
      </c>
      <c r="C13" s="2">
        <v>0</v>
      </c>
      <c r="D13" s="2">
        <v>0</v>
      </c>
      <c r="E13" s="2">
        <v>0</v>
      </c>
      <c r="F13" s="2">
        <f t="shared" si="0"/>
        <v>199.91000000000003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Regression</vt:lpstr>
      <vt:lpstr>Predictions</vt:lpstr>
      <vt:lpstr>Sheet3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Annabel Mehta</cp:lastModifiedBy>
  <dcterms:created xsi:type="dcterms:W3CDTF">2006-08-12T12:33:48Z</dcterms:created>
  <dcterms:modified xsi:type="dcterms:W3CDTF">2026-02-22T21:59:11Z</dcterms:modified>
</cp:coreProperties>
</file>